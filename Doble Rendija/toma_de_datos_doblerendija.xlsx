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av_bustos_uniandes_edu_co/Documents/Escritorio/Lab-Intermedio/Doble Rendija/"/>
    </mc:Choice>
  </mc:AlternateContent>
  <xr:revisionPtr revIDLastSave="796" documentId="14_{3CAABADE-BE41-41EC-B857-87693E98965B}" xr6:coauthVersionLast="47" xr6:coauthVersionMax="47" xr10:uidLastSave="{52330DC6-F414-4031-BE4E-99F253892F29}"/>
  <bookViews>
    <workbookView xWindow="-120" yWindow="-120" windowWidth="20730" windowHeight="11310" activeTab="2" xr2:uid="{AACBDC3B-27A3-4B05-A44B-C0E5AE496FEC}"/>
  </bookViews>
  <sheets>
    <sheet name="Doble Rendija" sheetId="1" r:id="rId1"/>
    <sheet name="Una rendija" sheetId="2" r:id="rId2"/>
    <sheet name="Corpuscular Doble Rendija" sheetId="3" r:id="rId3"/>
    <sheet name="Corpuscular Una rendij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2" i="3"/>
  <c r="P4" i="4"/>
  <c r="O3" i="3"/>
  <c r="N3" i="2"/>
  <c r="M4" i="1"/>
  <c r="G75" i="4"/>
  <c r="G76" i="4"/>
  <c r="G77" i="4"/>
  <c r="G78" i="4"/>
  <c r="G79" i="4"/>
  <c r="G80" i="4"/>
  <c r="C2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2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B2" i="3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3" i="1"/>
  <c r="C3" i="2"/>
  <c r="C4" i="2"/>
  <c r="C5" i="2"/>
  <c r="A5" i="2"/>
  <c r="A6" i="2" s="1"/>
  <c r="C132" i="1"/>
  <c r="C133" i="1" s="1"/>
  <c r="C134" i="1" s="1"/>
  <c r="C135" i="1" s="1"/>
  <c r="C136" i="1" s="1"/>
  <c r="C137" i="1" s="1"/>
  <c r="C138" i="1" s="1"/>
  <c r="C139" i="1" s="1"/>
  <c r="C140" i="1" s="1"/>
  <c r="C141" i="1" s="1"/>
  <c r="C122" i="1"/>
  <c r="C123" i="1" s="1"/>
  <c r="C124" i="1" s="1"/>
  <c r="C125" i="1" s="1"/>
  <c r="C126" i="1" s="1"/>
  <c r="C127" i="1" s="1"/>
  <c r="C128" i="1" s="1"/>
  <c r="C129" i="1" s="1"/>
  <c r="C130" i="1" s="1"/>
  <c r="C131" i="1" s="1"/>
  <c r="C112" i="1"/>
  <c r="C113" i="1" s="1"/>
  <c r="C114" i="1" s="1"/>
  <c r="C115" i="1" s="1"/>
  <c r="C116" i="1" s="1"/>
  <c r="C117" i="1" s="1"/>
  <c r="C118" i="1" s="1"/>
  <c r="C119" i="1" s="1"/>
  <c r="C120" i="1" s="1"/>
  <c r="C121" i="1" s="1"/>
  <c r="C102" i="1"/>
  <c r="C103" i="1" s="1"/>
  <c r="C104" i="1" s="1"/>
  <c r="C105" i="1" s="1"/>
  <c r="C106" i="1" s="1"/>
  <c r="C107" i="1" s="1"/>
  <c r="C108" i="1" s="1"/>
  <c r="C109" i="1" s="1"/>
  <c r="C110" i="1" s="1"/>
  <c r="C111" i="1" s="1"/>
  <c r="C92" i="1"/>
  <c r="C93" i="1" s="1"/>
  <c r="C94" i="1" s="1"/>
  <c r="C95" i="1" s="1"/>
  <c r="C96" i="1" s="1"/>
  <c r="C97" i="1" s="1"/>
  <c r="C98" i="1" s="1"/>
  <c r="C99" i="1" s="1"/>
  <c r="C100" i="1" s="1"/>
  <c r="C101" i="1" s="1"/>
  <c r="C82" i="1"/>
  <c r="C83" i="1" s="1"/>
  <c r="C84" i="1" s="1"/>
  <c r="C85" i="1" s="1"/>
  <c r="C86" i="1" s="1"/>
  <c r="C87" i="1" s="1"/>
  <c r="C88" i="1" s="1"/>
  <c r="C89" i="1" s="1"/>
  <c r="C90" i="1" s="1"/>
  <c r="C91" i="1" s="1"/>
  <c r="C72" i="1"/>
  <c r="C73" i="1" s="1"/>
  <c r="C74" i="1" s="1"/>
  <c r="C75" i="1" s="1"/>
  <c r="C76" i="1" s="1"/>
  <c r="C77" i="1" s="1"/>
  <c r="C78" i="1" s="1"/>
  <c r="C79" i="1" s="1"/>
  <c r="C80" i="1" s="1"/>
  <c r="C81" i="1" s="1"/>
  <c r="C2" i="1"/>
  <c r="A2" i="1" s="1"/>
  <c r="C62" i="1"/>
  <c r="C63" i="1" s="1"/>
  <c r="C64" i="1" s="1"/>
  <c r="C65" i="1" s="1"/>
  <c r="C66" i="1" s="1"/>
  <c r="C67" i="1" s="1"/>
  <c r="C68" i="1" s="1"/>
  <c r="C69" i="1" s="1"/>
  <c r="C70" i="1" s="1"/>
  <c r="C71" i="1" s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42" i="1"/>
  <c r="C43" i="1" s="1"/>
  <c r="C44" i="1" s="1"/>
  <c r="C45" i="1" s="1"/>
  <c r="C46" i="1" s="1"/>
  <c r="C47" i="1" s="1"/>
  <c r="C48" i="1" s="1"/>
  <c r="C49" i="1" s="1"/>
  <c r="C50" i="1" s="1"/>
  <c r="C51" i="1" s="1"/>
  <c r="C32" i="1"/>
  <c r="C33" i="1" s="1"/>
  <c r="C34" i="1" s="1"/>
  <c r="C35" i="1" s="1"/>
  <c r="C36" i="1" s="1"/>
  <c r="C37" i="1" s="1"/>
  <c r="C38" i="1" s="1"/>
  <c r="C39" i="1" s="1"/>
  <c r="C40" i="1" s="1"/>
  <c r="C41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12" i="1"/>
  <c r="C13" i="1" s="1"/>
  <c r="C14" i="1" s="1"/>
  <c r="C15" i="1" s="1"/>
  <c r="C16" i="1" s="1"/>
  <c r="C17" i="1" s="1"/>
  <c r="C18" i="1" s="1"/>
  <c r="A7" i="2" l="1"/>
  <c r="C6" i="2"/>
  <c r="C19" i="1"/>
  <c r="C20" i="1" s="1"/>
  <c r="C21" i="1" s="1"/>
  <c r="C3" i="1"/>
  <c r="C4" i="1" s="1"/>
  <c r="C5" i="1" s="1"/>
  <c r="C6" i="1" s="1"/>
  <c r="C7" i="1" s="1"/>
  <c r="C8" i="1" s="1"/>
  <c r="C9" i="1" s="1"/>
  <c r="C10" i="1" s="1"/>
  <c r="C11" i="1" s="1"/>
  <c r="A8" i="2" l="1"/>
  <c r="C7" i="2"/>
  <c r="A9" i="2" l="1"/>
  <c r="C8" i="2"/>
  <c r="A10" i="2" l="1"/>
  <c r="C9" i="2"/>
  <c r="A11" i="2" l="1"/>
  <c r="C10" i="2"/>
  <c r="A12" i="2" l="1"/>
  <c r="C11" i="2"/>
  <c r="A13" i="2" l="1"/>
  <c r="C12" i="2"/>
  <c r="A14" i="2" l="1"/>
  <c r="C13" i="2"/>
  <c r="A15" i="2" l="1"/>
  <c r="C14" i="2"/>
  <c r="A16" i="2" l="1"/>
  <c r="C15" i="2"/>
  <c r="A17" i="2" l="1"/>
  <c r="C16" i="2"/>
  <c r="A18" i="2" l="1"/>
  <c r="C17" i="2"/>
  <c r="A19" i="2" l="1"/>
  <c r="C18" i="2"/>
  <c r="A20" i="2" l="1"/>
  <c r="C19" i="2"/>
  <c r="A21" i="2" l="1"/>
  <c r="C20" i="2"/>
  <c r="A22" i="2" l="1"/>
  <c r="C21" i="2"/>
  <c r="A23" i="2" l="1"/>
  <c r="C22" i="2"/>
  <c r="C23" i="2" l="1"/>
  <c r="A24" i="2"/>
  <c r="A25" i="2" l="1"/>
  <c r="C24" i="2"/>
  <c r="A26" i="2" l="1"/>
  <c r="C25" i="2"/>
  <c r="A27" i="2" l="1"/>
  <c r="C26" i="2"/>
  <c r="A28" i="2" l="1"/>
  <c r="C27" i="2"/>
  <c r="A29" i="2" l="1"/>
  <c r="C28" i="2"/>
  <c r="A30" i="2" l="1"/>
  <c r="C29" i="2"/>
  <c r="A31" i="2" l="1"/>
  <c r="C30" i="2"/>
  <c r="A32" i="2" l="1"/>
  <c r="C31" i="2"/>
  <c r="A33" i="2" l="1"/>
  <c r="C32" i="2"/>
  <c r="A34" i="2" l="1"/>
  <c r="C33" i="2"/>
  <c r="A35" i="2" l="1"/>
  <c r="C34" i="2"/>
  <c r="A36" i="2" l="1"/>
  <c r="C35" i="2"/>
  <c r="A37" i="2" l="1"/>
  <c r="C36" i="2"/>
  <c r="A38" i="2" l="1"/>
  <c r="C37" i="2"/>
  <c r="A39" i="2" l="1"/>
  <c r="C38" i="2"/>
  <c r="A40" i="2" l="1"/>
  <c r="C39" i="2"/>
  <c r="A41" i="2" l="1"/>
  <c r="C40" i="2"/>
  <c r="A42" i="2" l="1"/>
  <c r="C41" i="2"/>
  <c r="C42" i="2" l="1"/>
  <c r="A43" i="2"/>
  <c r="A44" i="2" l="1"/>
  <c r="C43" i="2"/>
  <c r="A45" i="2" l="1"/>
  <c r="C44" i="2"/>
  <c r="A46" i="2" l="1"/>
  <c r="C45" i="2"/>
  <c r="A47" i="2" l="1"/>
  <c r="C46" i="2"/>
  <c r="A48" i="2" l="1"/>
  <c r="C47" i="2"/>
  <c r="A49" i="2" l="1"/>
  <c r="C48" i="2"/>
  <c r="A50" i="2" l="1"/>
  <c r="C49" i="2"/>
  <c r="A51" i="2" l="1"/>
  <c r="C50" i="2"/>
  <c r="A52" i="2" l="1"/>
  <c r="C51" i="2"/>
  <c r="A53" i="2" l="1"/>
  <c r="C52" i="2"/>
  <c r="A54" i="2" l="1"/>
  <c r="C53" i="2"/>
  <c r="A55" i="2" l="1"/>
  <c r="C54" i="2"/>
  <c r="A56" i="2" l="1"/>
  <c r="C55" i="2"/>
  <c r="A57" i="2" l="1"/>
  <c r="C56" i="2"/>
  <c r="A58" i="2" l="1"/>
  <c r="C57" i="2"/>
  <c r="A59" i="2" l="1"/>
  <c r="C58" i="2"/>
  <c r="A60" i="2" l="1"/>
  <c r="C59" i="2"/>
  <c r="A61" i="2" l="1"/>
  <c r="C60" i="2"/>
  <c r="A62" i="2" l="1"/>
  <c r="C61" i="2"/>
  <c r="A63" i="2" l="1"/>
  <c r="C62" i="2"/>
  <c r="A64" i="2" l="1"/>
  <c r="C63" i="2"/>
  <c r="A65" i="2" l="1"/>
  <c r="C64" i="2"/>
  <c r="A66" i="2" l="1"/>
  <c r="C65" i="2"/>
  <c r="A67" i="2" l="1"/>
  <c r="C66" i="2"/>
  <c r="A68" i="2" l="1"/>
  <c r="C67" i="2"/>
  <c r="A69" i="2" l="1"/>
  <c r="C68" i="2"/>
  <c r="A70" i="2" l="1"/>
  <c r="C69" i="2"/>
  <c r="A71" i="2" l="1"/>
  <c r="C70" i="2"/>
  <c r="A72" i="2" l="1"/>
  <c r="C71" i="2"/>
  <c r="A73" i="2" l="1"/>
  <c r="C72" i="2"/>
  <c r="A74" i="2" l="1"/>
  <c r="C73" i="2"/>
  <c r="A75" i="2" l="1"/>
  <c r="C74" i="2"/>
  <c r="A76" i="2" l="1"/>
  <c r="C75" i="2"/>
  <c r="A77" i="2" l="1"/>
  <c r="C76" i="2"/>
  <c r="A78" i="2" l="1"/>
  <c r="C77" i="2"/>
  <c r="A79" i="2" l="1"/>
  <c r="C78" i="2"/>
  <c r="C79" i="2" l="1"/>
  <c r="C80" i="2" l="1"/>
  <c r="C81" i="2" l="1"/>
  <c r="C82" i="2" l="1"/>
  <c r="C83" i="2" l="1"/>
  <c r="C84" i="2" l="1"/>
  <c r="C85" i="2" l="1"/>
  <c r="C86" i="2" l="1"/>
  <c r="C87" i="2" l="1"/>
  <c r="C88" i="2" l="1"/>
  <c r="C89" i="2" l="1"/>
  <c r="C90" i="2" l="1"/>
  <c r="C91" i="2" l="1"/>
  <c r="C92" i="2" l="1"/>
  <c r="C93" i="2" l="1"/>
  <c r="C94" i="2" l="1"/>
  <c r="C95" i="2" l="1"/>
  <c r="C96" i="2" l="1"/>
  <c r="C97" i="2" l="1"/>
  <c r="C98" i="2" l="1"/>
  <c r="C100" i="2" l="1"/>
  <c r="C99" i="2"/>
</calcChain>
</file>

<file path=xl/sharedStrings.xml><?xml version="1.0" encoding="utf-8"?>
<sst xmlns="http://schemas.openxmlformats.org/spreadsheetml/2006/main" count="12" uniqueCount="6">
  <si>
    <t>Voltaje (mV)</t>
  </si>
  <si>
    <t xml:space="preserve">Posición (muM) </t>
  </si>
  <si>
    <t>x</t>
  </si>
  <si>
    <t xml:space="preserve">Posición (nm) </t>
  </si>
  <si>
    <t>Conteos - Pulsos</t>
  </si>
  <si>
    <t>Desviación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</si>
</sst>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'Doble Rendija'!$A$2:$A$193</c:f>
              <c:numCache>
                <c:formatCode>General</c:formatCode>
                <c:ptCount val="19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</c:numCache>
            </c:numRef>
          </c:xVal>
          <c:yVal>
            <c:numRef>
              <c:f>'Doble Rendija'!$B$2:$B$193</c:f>
              <c:numCache>
                <c:formatCode>General</c:formatCode>
                <c:ptCount val="192"/>
                <c:pt idx="0">
                  <c:v>11.9</c:v>
                </c:pt>
                <c:pt idx="1">
                  <c:v>12.9</c:v>
                </c:pt>
                <c:pt idx="2">
                  <c:v>14.1</c:v>
                </c:pt>
                <c:pt idx="3">
                  <c:v>15.1</c:v>
                </c:pt>
                <c:pt idx="4">
                  <c:v>15.8</c:v>
                </c:pt>
                <c:pt idx="5">
                  <c:v>16.2</c:v>
                </c:pt>
                <c:pt idx="6">
                  <c:v>16.2</c:v>
                </c:pt>
                <c:pt idx="7">
                  <c:v>16.100000000000001</c:v>
                </c:pt>
                <c:pt idx="8">
                  <c:v>15.9</c:v>
                </c:pt>
                <c:pt idx="9">
                  <c:v>15.4</c:v>
                </c:pt>
                <c:pt idx="10">
                  <c:v>15</c:v>
                </c:pt>
                <c:pt idx="11">
                  <c:v>14.7</c:v>
                </c:pt>
                <c:pt idx="12">
                  <c:v>14.7</c:v>
                </c:pt>
                <c:pt idx="13">
                  <c:v>15</c:v>
                </c:pt>
                <c:pt idx="14">
                  <c:v>15.7</c:v>
                </c:pt>
                <c:pt idx="15">
                  <c:v>16.899999999999999</c:v>
                </c:pt>
                <c:pt idx="16">
                  <c:v>18.7</c:v>
                </c:pt>
                <c:pt idx="17">
                  <c:v>20.8</c:v>
                </c:pt>
                <c:pt idx="18">
                  <c:v>23.2</c:v>
                </c:pt>
                <c:pt idx="19">
                  <c:v>25.9</c:v>
                </c:pt>
                <c:pt idx="20">
                  <c:v>28.8</c:v>
                </c:pt>
                <c:pt idx="21">
                  <c:v>31.6</c:v>
                </c:pt>
                <c:pt idx="22">
                  <c:v>33.5</c:v>
                </c:pt>
                <c:pt idx="23">
                  <c:v>35.700000000000003</c:v>
                </c:pt>
                <c:pt idx="24">
                  <c:v>36.6</c:v>
                </c:pt>
                <c:pt idx="25">
                  <c:v>36.700000000000003</c:v>
                </c:pt>
                <c:pt idx="26">
                  <c:v>36</c:v>
                </c:pt>
                <c:pt idx="27">
                  <c:v>34.299999999999997</c:v>
                </c:pt>
                <c:pt idx="28">
                  <c:v>32.1</c:v>
                </c:pt>
                <c:pt idx="29">
                  <c:v>29.9</c:v>
                </c:pt>
                <c:pt idx="30">
                  <c:v>26.9</c:v>
                </c:pt>
                <c:pt idx="31">
                  <c:v>24.1</c:v>
                </c:pt>
                <c:pt idx="32">
                  <c:v>21.9</c:v>
                </c:pt>
                <c:pt idx="33">
                  <c:v>20.7</c:v>
                </c:pt>
                <c:pt idx="34">
                  <c:v>20.8</c:v>
                </c:pt>
                <c:pt idx="35">
                  <c:v>22.3</c:v>
                </c:pt>
                <c:pt idx="36">
                  <c:v>25.6</c:v>
                </c:pt>
                <c:pt idx="37">
                  <c:v>29.5</c:v>
                </c:pt>
                <c:pt idx="38">
                  <c:v>36.1</c:v>
                </c:pt>
                <c:pt idx="39">
                  <c:v>42.6</c:v>
                </c:pt>
                <c:pt idx="40">
                  <c:v>47.7</c:v>
                </c:pt>
                <c:pt idx="41">
                  <c:v>55.1</c:v>
                </c:pt>
                <c:pt idx="42">
                  <c:v>60.9</c:v>
                </c:pt>
                <c:pt idx="43">
                  <c:v>66.3</c:v>
                </c:pt>
                <c:pt idx="44">
                  <c:v>69.5</c:v>
                </c:pt>
                <c:pt idx="45">
                  <c:v>70.3</c:v>
                </c:pt>
                <c:pt idx="46">
                  <c:v>68.7</c:v>
                </c:pt>
                <c:pt idx="47">
                  <c:v>64.900000000000006</c:v>
                </c:pt>
                <c:pt idx="48">
                  <c:v>59.4</c:v>
                </c:pt>
                <c:pt idx="49">
                  <c:v>53.2</c:v>
                </c:pt>
                <c:pt idx="50">
                  <c:v>45</c:v>
                </c:pt>
                <c:pt idx="51">
                  <c:v>38</c:v>
                </c:pt>
                <c:pt idx="52">
                  <c:v>32.200000000000003</c:v>
                </c:pt>
                <c:pt idx="53">
                  <c:v>28.5</c:v>
                </c:pt>
                <c:pt idx="54">
                  <c:v>27.8</c:v>
                </c:pt>
                <c:pt idx="55">
                  <c:v>30.8</c:v>
                </c:pt>
                <c:pt idx="56">
                  <c:v>37.299999999999997</c:v>
                </c:pt>
                <c:pt idx="57">
                  <c:v>46.8</c:v>
                </c:pt>
                <c:pt idx="58">
                  <c:v>57.6</c:v>
                </c:pt>
                <c:pt idx="59">
                  <c:v>71.2</c:v>
                </c:pt>
                <c:pt idx="60">
                  <c:v>84.7</c:v>
                </c:pt>
                <c:pt idx="61">
                  <c:v>97.8</c:v>
                </c:pt>
                <c:pt idx="62">
                  <c:v>108.4</c:v>
                </c:pt>
                <c:pt idx="63">
                  <c:v>114.4</c:v>
                </c:pt>
                <c:pt idx="64">
                  <c:v>116.4</c:v>
                </c:pt>
                <c:pt idx="65">
                  <c:v>113.13</c:v>
                </c:pt>
                <c:pt idx="66">
                  <c:v>106.4</c:v>
                </c:pt>
                <c:pt idx="67">
                  <c:v>95.9</c:v>
                </c:pt>
                <c:pt idx="68">
                  <c:v>82.8</c:v>
                </c:pt>
                <c:pt idx="69">
                  <c:v>68.099999999999994</c:v>
                </c:pt>
                <c:pt idx="70">
                  <c:v>56.3</c:v>
                </c:pt>
                <c:pt idx="71">
                  <c:v>46.7</c:v>
                </c:pt>
                <c:pt idx="72">
                  <c:v>46.9</c:v>
                </c:pt>
                <c:pt idx="73">
                  <c:v>35.5</c:v>
                </c:pt>
                <c:pt idx="74">
                  <c:v>40.4</c:v>
                </c:pt>
                <c:pt idx="75">
                  <c:v>50.8</c:v>
                </c:pt>
                <c:pt idx="76">
                  <c:v>66.8</c:v>
                </c:pt>
                <c:pt idx="77">
                  <c:v>85.9</c:v>
                </c:pt>
                <c:pt idx="78">
                  <c:v>105.4</c:v>
                </c:pt>
                <c:pt idx="79">
                  <c:v>122.7</c:v>
                </c:pt>
                <c:pt idx="80">
                  <c:v>137.9</c:v>
                </c:pt>
                <c:pt idx="81">
                  <c:v>150.30000000000001</c:v>
                </c:pt>
                <c:pt idx="82">
                  <c:v>157.30000000000001</c:v>
                </c:pt>
                <c:pt idx="83">
                  <c:v>156.6</c:v>
                </c:pt>
                <c:pt idx="84">
                  <c:v>149.6</c:v>
                </c:pt>
                <c:pt idx="85">
                  <c:v>134.19999999999999</c:v>
                </c:pt>
                <c:pt idx="86">
                  <c:v>115.3</c:v>
                </c:pt>
                <c:pt idx="87">
                  <c:v>94.4</c:v>
                </c:pt>
                <c:pt idx="88">
                  <c:v>74.8</c:v>
                </c:pt>
                <c:pt idx="89">
                  <c:v>57.6</c:v>
                </c:pt>
                <c:pt idx="90">
                  <c:v>45.7</c:v>
                </c:pt>
                <c:pt idx="91">
                  <c:v>42.2</c:v>
                </c:pt>
                <c:pt idx="92">
                  <c:v>42.2</c:v>
                </c:pt>
                <c:pt idx="93">
                  <c:v>50.8</c:v>
                </c:pt>
                <c:pt idx="94">
                  <c:v>67.3</c:v>
                </c:pt>
                <c:pt idx="95">
                  <c:v>87.8</c:v>
                </c:pt>
                <c:pt idx="96">
                  <c:v>110.1</c:v>
                </c:pt>
                <c:pt idx="97">
                  <c:v>131.5</c:v>
                </c:pt>
                <c:pt idx="98">
                  <c:v>148.9</c:v>
                </c:pt>
                <c:pt idx="99">
                  <c:v>160.1</c:v>
                </c:pt>
                <c:pt idx="100">
                  <c:v>165.1</c:v>
                </c:pt>
                <c:pt idx="101">
                  <c:v>162.5</c:v>
                </c:pt>
                <c:pt idx="102">
                  <c:v>152.19999999999999</c:v>
                </c:pt>
                <c:pt idx="103">
                  <c:v>135.80000000000001</c:v>
                </c:pt>
                <c:pt idx="104">
                  <c:v>114.4</c:v>
                </c:pt>
                <c:pt idx="105">
                  <c:v>91.5</c:v>
                </c:pt>
                <c:pt idx="106">
                  <c:v>71</c:v>
                </c:pt>
                <c:pt idx="107">
                  <c:v>54.2</c:v>
                </c:pt>
                <c:pt idx="108">
                  <c:v>42.2</c:v>
                </c:pt>
                <c:pt idx="109">
                  <c:v>35.6</c:v>
                </c:pt>
                <c:pt idx="110">
                  <c:v>36.799999999999997</c:v>
                </c:pt>
                <c:pt idx="111">
                  <c:v>43.3</c:v>
                </c:pt>
                <c:pt idx="112">
                  <c:v>55</c:v>
                </c:pt>
                <c:pt idx="113">
                  <c:v>72.5</c:v>
                </c:pt>
                <c:pt idx="114">
                  <c:v>89.7</c:v>
                </c:pt>
                <c:pt idx="115">
                  <c:v>104.6</c:v>
                </c:pt>
                <c:pt idx="116">
                  <c:v>116.3</c:v>
                </c:pt>
                <c:pt idx="117">
                  <c:v>123.2</c:v>
                </c:pt>
                <c:pt idx="118">
                  <c:v>124.5</c:v>
                </c:pt>
                <c:pt idx="119">
                  <c:v>120.5</c:v>
                </c:pt>
                <c:pt idx="120">
                  <c:v>115.6</c:v>
                </c:pt>
                <c:pt idx="121">
                  <c:v>102.6</c:v>
                </c:pt>
                <c:pt idx="122">
                  <c:v>87.2</c:v>
                </c:pt>
                <c:pt idx="123">
                  <c:v>72.2</c:v>
                </c:pt>
                <c:pt idx="124">
                  <c:v>55.5</c:v>
                </c:pt>
                <c:pt idx="125">
                  <c:v>43.2</c:v>
                </c:pt>
                <c:pt idx="126">
                  <c:v>33.700000000000003</c:v>
                </c:pt>
                <c:pt idx="127">
                  <c:v>29</c:v>
                </c:pt>
                <c:pt idx="128">
                  <c:v>28</c:v>
                </c:pt>
                <c:pt idx="129">
                  <c:v>34</c:v>
                </c:pt>
                <c:pt idx="130">
                  <c:v>36.1</c:v>
                </c:pt>
                <c:pt idx="131">
                  <c:v>43.7</c:v>
                </c:pt>
                <c:pt idx="132">
                  <c:v>51.4</c:v>
                </c:pt>
                <c:pt idx="133">
                  <c:v>60.1</c:v>
                </c:pt>
                <c:pt idx="134">
                  <c:v>66.599999999999994</c:v>
                </c:pt>
                <c:pt idx="135">
                  <c:v>70.8</c:v>
                </c:pt>
                <c:pt idx="136">
                  <c:v>72.3</c:v>
                </c:pt>
                <c:pt idx="137">
                  <c:v>71.3</c:v>
                </c:pt>
                <c:pt idx="138">
                  <c:v>67.8</c:v>
                </c:pt>
                <c:pt idx="139">
                  <c:v>62.3</c:v>
                </c:pt>
                <c:pt idx="140">
                  <c:v>55.1</c:v>
                </c:pt>
                <c:pt idx="141">
                  <c:v>47.5</c:v>
                </c:pt>
                <c:pt idx="142">
                  <c:v>40</c:v>
                </c:pt>
                <c:pt idx="143">
                  <c:v>32.9</c:v>
                </c:pt>
                <c:pt idx="144">
                  <c:v>27.1</c:v>
                </c:pt>
                <c:pt idx="145">
                  <c:v>23.3</c:v>
                </c:pt>
                <c:pt idx="146">
                  <c:v>21</c:v>
                </c:pt>
                <c:pt idx="147">
                  <c:v>20.8</c:v>
                </c:pt>
                <c:pt idx="148">
                  <c:v>21.9</c:v>
                </c:pt>
                <c:pt idx="149">
                  <c:v>24.2</c:v>
                </c:pt>
                <c:pt idx="150">
                  <c:v>27.4</c:v>
                </c:pt>
                <c:pt idx="151">
                  <c:v>31</c:v>
                </c:pt>
                <c:pt idx="152">
                  <c:v>34.5</c:v>
                </c:pt>
                <c:pt idx="153">
                  <c:v>37.5</c:v>
                </c:pt>
                <c:pt idx="154">
                  <c:v>39.299999999999997</c:v>
                </c:pt>
                <c:pt idx="155">
                  <c:v>39.700000000000003</c:v>
                </c:pt>
                <c:pt idx="156">
                  <c:v>50.9</c:v>
                </c:pt>
                <c:pt idx="157">
                  <c:v>48.9</c:v>
                </c:pt>
                <c:pt idx="158">
                  <c:v>41</c:v>
                </c:pt>
                <c:pt idx="159">
                  <c:v>34</c:v>
                </c:pt>
                <c:pt idx="160">
                  <c:v>27.5</c:v>
                </c:pt>
                <c:pt idx="161">
                  <c:v>23.8</c:v>
                </c:pt>
                <c:pt idx="162">
                  <c:v>21.5</c:v>
                </c:pt>
                <c:pt idx="163">
                  <c:v>21</c:v>
                </c:pt>
                <c:pt idx="164">
                  <c:v>22</c:v>
                </c:pt>
                <c:pt idx="165">
                  <c:v>24.5</c:v>
                </c:pt>
                <c:pt idx="166">
                  <c:v>27.8</c:v>
                </c:pt>
                <c:pt idx="167">
                  <c:v>31.4</c:v>
                </c:pt>
                <c:pt idx="168">
                  <c:v>34.799999999999997</c:v>
                </c:pt>
                <c:pt idx="169">
                  <c:v>37.799999999999997</c:v>
                </c:pt>
                <c:pt idx="170">
                  <c:v>39.700000000000003</c:v>
                </c:pt>
                <c:pt idx="171">
                  <c:v>40.1</c:v>
                </c:pt>
                <c:pt idx="172">
                  <c:v>39.299999999999997</c:v>
                </c:pt>
                <c:pt idx="173">
                  <c:v>37.200000000000003</c:v>
                </c:pt>
                <c:pt idx="174">
                  <c:v>34.299999999999997</c:v>
                </c:pt>
                <c:pt idx="175">
                  <c:v>31</c:v>
                </c:pt>
                <c:pt idx="176">
                  <c:v>27</c:v>
                </c:pt>
                <c:pt idx="177">
                  <c:v>23.4</c:v>
                </c:pt>
                <c:pt idx="178">
                  <c:v>20</c:v>
                </c:pt>
                <c:pt idx="179">
                  <c:v>17.600000000000001</c:v>
                </c:pt>
                <c:pt idx="180">
                  <c:v>16</c:v>
                </c:pt>
                <c:pt idx="181">
                  <c:v>15.5</c:v>
                </c:pt>
                <c:pt idx="182">
                  <c:v>15.8</c:v>
                </c:pt>
                <c:pt idx="183">
                  <c:v>16.7</c:v>
                </c:pt>
                <c:pt idx="184">
                  <c:v>18</c:v>
                </c:pt>
                <c:pt idx="185">
                  <c:v>19</c:v>
                </c:pt>
                <c:pt idx="186">
                  <c:v>19.7</c:v>
                </c:pt>
                <c:pt idx="187">
                  <c:v>19.8</c:v>
                </c:pt>
                <c:pt idx="188">
                  <c:v>19</c:v>
                </c:pt>
                <c:pt idx="189">
                  <c:v>16.5</c:v>
                </c:pt>
                <c:pt idx="190">
                  <c:v>15.2</c:v>
                </c:pt>
                <c:pt idx="191">
                  <c:v>14.9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A-4A1E-9112-DB22EFBDF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18816"/>
        <c:axId val="605819176"/>
      </c:scatterChart>
      <c:valAx>
        <c:axId val="60581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05819176"/>
        <c:crosses val="autoZero"/>
        <c:crossBetween val="midCat"/>
      </c:valAx>
      <c:valAx>
        <c:axId val="6058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0581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'Una rendija'!$A$2:$A$100</c:f>
              <c:numCache>
                <c:formatCode>General</c:formatCode>
                <c:ptCount val="9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</c:numCache>
            </c:numRef>
          </c:xVal>
          <c:yVal>
            <c:numRef>
              <c:f>'Una rendija'!$B$2:$B$100</c:f>
              <c:numCache>
                <c:formatCode>General</c:formatCode>
                <c:ptCount val="99"/>
                <c:pt idx="0">
                  <c:v>73</c:v>
                </c:pt>
                <c:pt idx="1">
                  <c:v>75.400000000000006</c:v>
                </c:pt>
                <c:pt idx="2">
                  <c:v>77.8</c:v>
                </c:pt>
                <c:pt idx="3">
                  <c:v>80.3</c:v>
                </c:pt>
                <c:pt idx="4">
                  <c:v>83</c:v>
                </c:pt>
                <c:pt idx="5">
                  <c:v>86.1</c:v>
                </c:pt>
                <c:pt idx="6">
                  <c:v>90</c:v>
                </c:pt>
                <c:pt idx="7">
                  <c:v>92.6</c:v>
                </c:pt>
                <c:pt idx="8">
                  <c:v>96</c:v>
                </c:pt>
                <c:pt idx="9">
                  <c:v>98.4</c:v>
                </c:pt>
                <c:pt idx="10">
                  <c:v>101.2</c:v>
                </c:pt>
                <c:pt idx="11">
                  <c:v>103.5</c:v>
                </c:pt>
                <c:pt idx="12">
                  <c:v>105.7</c:v>
                </c:pt>
                <c:pt idx="13">
                  <c:v>107.7</c:v>
                </c:pt>
                <c:pt idx="14">
                  <c:v>109.6</c:v>
                </c:pt>
                <c:pt idx="15">
                  <c:v>110.2</c:v>
                </c:pt>
                <c:pt idx="16">
                  <c:v>112.4</c:v>
                </c:pt>
                <c:pt idx="17">
                  <c:v>113.1</c:v>
                </c:pt>
                <c:pt idx="18">
                  <c:v>113.7</c:v>
                </c:pt>
                <c:pt idx="19">
                  <c:v>113.5</c:v>
                </c:pt>
                <c:pt idx="20">
                  <c:v>113.2</c:v>
                </c:pt>
                <c:pt idx="21">
                  <c:v>113.5</c:v>
                </c:pt>
                <c:pt idx="22">
                  <c:v>112.8</c:v>
                </c:pt>
                <c:pt idx="23">
                  <c:v>112.9</c:v>
                </c:pt>
                <c:pt idx="24">
                  <c:v>112.4</c:v>
                </c:pt>
                <c:pt idx="25">
                  <c:v>111.4</c:v>
                </c:pt>
                <c:pt idx="26">
                  <c:v>111.2</c:v>
                </c:pt>
                <c:pt idx="27">
                  <c:v>111</c:v>
                </c:pt>
                <c:pt idx="28">
                  <c:v>110.6</c:v>
                </c:pt>
                <c:pt idx="29">
                  <c:v>110.3</c:v>
                </c:pt>
                <c:pt idx="30">
                  <c:v>110</c:v>
                </c:pt>
                <c:pt idx="31">
                  <c:v>110.5</c:v>
                </c:pt>
                <c:pt idx="32">
                  <c:v>110.2</c:v>
                </c:pt>
                <c:pt idx="33">
                  <c:v>110</c:v>
                </c:pt>
                <c:pt idx="34">
                  <c:v>109.8</c:v>
                </c:pt>
                <c:pt idx="35">
                  <c:v>109.4</c:v>
                </c:pt>
                <c:pt idx="36">
                  <c:v>109.5</c:v>
                </c:pt>
                <c:pt idx="37">
                  <c:v>109.3</c:v>
                </c:pt>
                <c:pt idx="38">
                  <c:v>109</c:v>
                </c:pt>
                <c:pt idx="39">
                  <c:v>108.2</c:v>
                </c:pt>
                <c:pt idx="40">
                  <c:v>108.2</c:v>
                </c:pt>
                <c:pt idx="41">
                  <c:v>107.2</c:v>
                </c:pt>
                <c:pt idx="42">
                  <c:v>106</c:v>
                </c:pt>
                <c:pt idx="43">
                  <c:v>105.4</c:v>
                </c:pt>
                <c:pt idx="44">
                  <c:v>104</c:v>
                </c:pt>
                <c:pt idx="45">
                  <c:v>102.7</c:v>
                </c:pt>
                <c:pt idx="46">
                  <c:v>101.2</c:v>
                </c:pt>
                <c:pt idx="47">
                  <c:v>99.5</c:v>
                </c:pt>
                <c:pt idx="48">
                  <c:v>98</c:v>
                </c:pt>
                <c:pt idx="49">
                  <c:v>95.7</c:v>
                </c:pt>
                <c:pt idx="50">
                  <c:v>93.7</c:v>
                </c:pt>
                <c:pt idx="51">
                  <c:v>91.5</c:v>
                </c:pt>
                <c:pt idx="52">
                  <c:v>89.5</c:v>
                </c:pt>
                <c:pt idx="53">
                  <c:v>87.2</c:v>
                </c:pt>
                <c:pt idx="54">
                  <c:v>85</c:v>
                </c:pt>
                <c:pt idx="55">
                  <c:v>82.7</c:v>
                </c:pt>
                <c:pt idx="56">
                  <c:v>80.400000000000006</c:v>
                </c:pt>
                <c:pt idx="57">
                  <c:v>78</c:v>
                </c:pt>
                <c:pt idx="58">
                  <c:v>75.8</c:v>
                </c:pt>
                <c:pt idx="59">
                  <c:v>73.900000000000006</c:v>
                </c:pt>
                <c:pt idx="60">
                  <c:v>72</c:v>
                </c:pt>
                <c:pt idx="61">
                  <c:v>70.2</c:v>
                </c:pt>
                <c:pt idx="62">
                  <c:v>68.7</c:v>
                </c:pt>
                <c:pt idx="63">
                  <c:v>67.3</c:v>
                </c:pt>
                <c:pt idx="64">
                  <c:v>66.900000000000006</c:v>
                </c:pt>
                <c:pt idx="65">
                  <c:v>67</c:v>
                </c:pt>
                <c:pt idx="66">
                  <c:v>66.599999999999994</c:v>
                </c:pt>
                <c:pt idx="67">
                  <c:v>66.5</c:v>
                </c:pt>
                <c:pt idx="68">
                  <c:v>66.099999999999994</c:v>
                </c:pt>
                <c:pt idx="69">
                  <c:v>66</c:v>
                </c:pt>
                <c:pt idx="70">
                  <c:v>65.900000000000006</c:v>
                </c:pt>
                <c:pt idx="71">
                  <c:v>65.900000000000006</c:v>
                </c:pt>
                <c:pt idx="72">
                  <c:v>65.900000000000006</c:v>
                </c:pt>
                <c:pt idx="73">
                  <c:v>65.8</c:v>
                </c:pt>
                <c:pt idx="74">
                  <c:v>65.7</c:v>
                </c:pt>
                <c:pt idx="75">
                  <c:v>65.5</c:v>
                </c:pt>
                <c:pt idx="76">
                  <c:v>65.7</c:v>
                </c:pt>
                <c:pt idx="77">
                  <c:v>65.7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A-4330-917E-8A5449D4F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15576"/>
        <c:axId val="605815936"/>
      </c:scatterChart>
      <c:valAx>
        <c:axId val="60581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05815936"/>
        <c:crosses val="autoZero"/>
        <c:crossBetween val="midCat"/>
      </c:valAx>
      <c:valAx>
        <c:axId val="6058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05815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'Corpuscular Doble Rendija'!$B$1</c:f>
              <c:strCache>
                <c:ptCount val="1"/>
                <c:pt idx="0">
                  <c:v>Conteos - Pulsos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'Corpuscular Doble Rendija'!$A$2:$A$174</c:f>
              <c:numCache>
                <c:formatCode>General</c:formatCode>
                <c:ptCount val="1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</c:numCache>
            </c:numRef>
          </c:cat>
          <c:val>
            <c:numRef>
              <c:f>'Corpuscular Doble Rendija'!$B$2:$B$174</c:f>
              <c:numCache>
                <c:formatCode>General</c:formatCode>
                <c:ptCount val="173"/>
                <c:pt idx="0">
                  <c:v>14.67</c:v>
                </c:pt>
                <c:pt idx="1">
                  <c:v>15.67</c:v>
                </c:pt>
                <c:pt idx="2">
                  <c:v>15.67</c:v>
                </c:pt>
                <c:pt idx="3">
                  <c:v>15</c:v>
                </c:pt>
                <c:pt idx="4">
                  <c:v>13.67</c:v>
                </c:pt>
                <c:pt idx="5">
                  <c:v>13.67</c:v>
                </c:pt>
                <c:pt idx="6">
                  <c:v>11.67</c:v>
                </c:pt>
                <c:pt idx="7">
                  <c:v>12.67</c:v>
                </c:pt>
                <c:pt idx="8">
                  <c:v>10.67</c:v>
                </c:pt>
                <c:pt idx="9">
                  <c:v>13</c:v>
                </c:pt>
                <c:pt idx="10">
                  <c:v>9.33</c:v>
                </c:pt>
                <c:pt idx="11">
                  <c:v>11</c:v>
                </c:pt>
                <c:pt idx="12">
                  <c:v>13</c:v>
                </c:pt>
                <c:pt idx="13">
                  <c:v>9.67</c:v>
                </c:pt>
                <c:pt idx="14">
                  <c:v>11.33</c:v>
                </c:pt>
                <c:pt idx="15">
                  <c:v>12</c:v>
                </c:pt>
                <c:pt idx="16">
                  <c:v>11.33</c:v>
                </c:pt>
                <c:pt idx="17">
                  <c:v>17.670000000000002</c:v>
                </c:pt>
                <c:pt idx="18">
                  <c:v>11</c:v>
                </c:pt>
                <c:pt idx="19">
                  <c:v>12.33</c:v>
                </c:pt>
                <c:pt idx="20">
                  <c:v>8.33</c:v>
                </c:pt>
                <c:pt idx="21">
                  <c:v>14.33</c:v>
                </c:pt>
                <c:pt idx="22">
                  <c:v>12.67</c:v>
                </c:pt>
                <c:pt idx="23">
                  <c:v>13</c:v>
                </c:pt>
                <c:pt idx="24">
                  <c:v>15</c:v>
                </c:pt>
                <c:pt idx="25">
                  <c:v>19.329999999999998</c:v>
                </c:pt>
                <c:pt idx="26">
                  <c:v>19</c:v>
                </c:pt>
                <c:pt idx="27">
                  <c:v>18.329999999999998</c:v>
                </c:pt>
                <c:pt idx="28">
                  <c:v>18.670000000000002</c:v>
                </c:pt>
                <c:pt idx="29">
                  <c:v>16.329999999999998</c:v>
                </c:pt>
                <c:pt idx="30">
                  <c:v>15</c:v>
                </c:pt>
                <c:pt idx="31">
                  <c:v>17</c:v>
                </c:pt>
                <c:pt idx="32">
                  <c:v>18.670000000000002</c:v>
                </c:pt>
                <c:pt idx="33">
                  <c:v>21</c:v>
                </c:pt>
                <c:pt idx="34">
                  <c:v>25.67</c:v>
                </c:pt>
                <c:pt idx="35">
                  <c:v>24.33</c:v>
                </c:pt>
                <c:pt idx="36">
                  <c:v>32.33</c:v>
                </c:pt>
                <c:pt idx="37">
                  <c:v>32</c:v>
                </c:pt>
                <c:pt idx="38">
                  <c:v>39</c:v>
                </c:pt>
                <c:pt idx="39">
                  <c:v>41.33</c:v>
                </c:pt>
                <c:pt idx="40">
                  <c:v>33</c:v>
                </c:pt>
                <c:pt idx="41">
                  <c:v>34</c:v>
                </c:pt>
                <c:pt idx="42">
                  <c:v>33</c:v>
                </c:pt>
                <c:pt idx="43">
                  <c:v>25.67</c:v>
                </c:pt>
                <c:pt idx="44">
                  <c:v>25.67</c:v>
                </c:pt>
                <c:pt idx="45">
                  <c:v>30.33</c:v>
                </c:pt>
                <c:pt idx="46">
                  <c:v>39.33</c:v>
                </c:pt>
                <c:pt idx="47">
                  <c:v>42.33</c:v>
                </c:pt>
                <c:pt idx="48">
                  <c:v>54.33</c:v>
                </c:pt>
                <c:pt idx="49">
                  <c:v>57.67</c:v>
                </c:pt>
                <c:pt idx="50">
                  <c:v>63.67</c:v>
                </c:pt>
                <c:pt idx="51">
                  <c:v>69</c:v>
                </c:pt>
                <c:pt idx="52">
                  <c:v>57.33</c:v>
                </c:pt>
                <c:pt idx="53">
                  <c:v>49.67</c:v>
                </c:pt>
                <c:pt idx="54">
                  <c:v>44</c:v>
                </c:pt>
                <c:pt idx="55">
                  <c:v>38</c:v>
                </c:pt>
                <c:pt idx="56">
                  <c:v>40.33</c:v>
                </c:pt>
                <c:pt idx="57">
                  <c:v>44.33</c:v>
                </c:pt>
                <c:pt idx="58">
                  <c:v>55.33</c:v>
                </c:pt>
                <c:pt idx="59">
                  <c:v>63.33</c:v>
                </c:pt>
                <c:pt idx="60">
                  <c:v>75.67</c:v>
                </c:pt>
                <c:pt idx="61">
                  <c:v>83.67</c:v>
                </c:pt>
                <c:pt idx="62">
                  <c:v>87.67</c:v>
                </c:pt>
                <c:pt idx="63">
                  <c:v>84.33</c:v>
                </c:pt>
                <c:pt idx="64">
                  <c:v>74</c:v>
                </c:pt>
                <c:pt idx="65">
                  <c:v>71</c:v>
                </c:pt>
                <c:pt idx="66">
                  <c:v>62.33</c:v>
                </c:pt>
                <c:pt idx="67">
                  <c:v>52.33</c:v>
                </c:pt>
                <c:pt idx="68">
                  <c:v>50.33</c:v>
                </c:pt>
                <c:pt idx="69">
                  <c:v>55</c:v>
                </c:pt>
                <c:pt idx="70">
                  <c:v>63</c:v>
                </c:pt>
                <c:pt idx="71">
                  <c:v>82.33</c:v>
                </c:pt>
                <c:pt idx="72">
                  <c:v>93.33</c:v>
                </c:pt>
                <c:pt idx="73">
                  <c:v>105.67</c:v>
                </c:pt>
                <c:pt idx="74">
                  <c:v>113</c:v>
                </c:pt>
                <c:pt idx="75">
                  <c:v>105.33</c:v>
                </c:pt>
                <c:pt idx="76">
                  <c:v>84.67</c:v>
                </c:pt>
                <c:pt idx="77">
                  <c:v>67.67</c:v>
                </c:pt>
                <c:pt idx="78">
                  <c:v>59.33</c:v>
                </c:pt>
                <c:pt idx="79">
                  <c:v>57</c:v>
                </c:pt>
                <c:pt idx="80">
                  <c:v>51</c:v>
                </c:pt>
                <c:pt idx="81">
                  <c:v>58.67</c:v>
                </c:pt>
                <c:pt idx="82">
                  <c:v>78</c:v>
                </c:pt>
                <c:pt idx="83">
                  <c:v>89.67</c:v>
                </c:pt>
                <c:pt idx="84">
                  <c:v>101</c:v>
                </c:pt>
                <c:pt idx="85">
                  <c:v>110.67</c:v>
                </c:pt>
                <c:pt idx="86">
                  <c:v>108</c:v>
                </c:pt>
                <c:pt idx="87">
                  <c:v>110</c:v>
                </c:pt>
                <c:pt idx="88">
                  <c:v>91.67</c:v>
                </c:pt>
                <c:pt idx="89">
                  <c:v>74.67</c:v>
                </c:pt>
                <c:pt idx="90">
                  <c:v>61.67</c:v>
                </c:pt>
                <c:pt idx="91">
                  <c:v>44</c:v>
                </c:pt>
                <c:pt idx="92">
                  <c:v>52</c:v>
                </c:pt>
                <c:pt idx="93">
                  <c:v>54.67</c:v>
                </c:pt>
                <c:pt idx="94">
                  <c:v>84.33</c:v>
                </c:pt>
                <c:pt idx="95">
                  <c:v>96.33</c:v>
                </c:pt>
                <c:pt idx="96">
                  <c:v>94.33</c:v>
                </c:pt>
                <c:pt idx="97">
                  <c:v>98.33</c:v>
                </c:pt>
                <c:pt idx="98">
                  <c:v>89.33</c:v>
                </c:pt>
                <c:pt idx="99">
                  <c:v>81.33</c:v>
                </c:pt>
                <c:pt idx="100">
                  <c:v>67.33</c:v>
                </c:pt>
                <c:pt idx="101">
                  <c:v>46</c:v>
                </c:pt>
                <c:pt idx="102">
                  <c:v>48.67</c:v>
                </c:pt>
                <c:pt idx="103">
                  <c:v>45</c:v>
                </c:pt>
                <c:pt idx="104">
                  <c:v>49.67</c:v>
                </c:pt>
                <c:pt idx="105">
                  <c:v>48.67</c:v>
                </c:pt>
                <c:pt idx="106">
                  <c:v>54.33</c:v>
                </c:pt>
                <c:pt idx="107">
                  <c:v>69.33</c:v>
                </c:pt>
                <c:pt idx="108">
                  <c:v>71.33</c:v>
                </c:pt>
                <c:pt idx="109">
                  <c:v>76</c:v>
                </c:pt>
                <c:pt idx="110">
                  <c:v>80.33</c:v>
                </c:pt>
                <c:pt idx="111">
                  <c:v>82.33</c:v>
                </c:pt>
                <c:pt idx="112">
                  <c:v>72.67</c:v>
                </c:pt>
                <c:pt idx="113">
                  <c:v>54</c:v>
                </c:pt>
                <c:pt idx="114">
                  <c:v>44.67</c:v>
                </c:pt>
                <c:pt idx="115">
                  <c:v>39.33</c:v>
                </c:pt>
                <c:pt idx="116">
                  <c:v>40</c:v>
                </c:pt>
                <c:pt idx="117">
                  <c:v>51.33</c:v>
                </c:pt>
                <c:pt idx="118">
                  <c:v>52.33</c:v>
                </c:pt>
                <c:pt idx="119">
                  <c:v>63</c:v>
                </c:pt>
                <c:pt idx="120">
                  <c:v>56.33</c:v>
                </c:pt>
                <c:pt idx="121">
                  <c:v>53.67</c:v>
                </c:pt>
                <c:pt idx="122">
                  <c:v>48.33</c:v>
                </c:pt>
                <c:pt idx="123">
                  <c:v>42</c:v>
                </c:pt>
                <c:pt idx="124">
                  <c:v>35</c:v>
                </c:pt>
                <c:pt idx="125">
                  <c:v>37</c:v>
                </c:pt>
                <c:pt idx="126">
                  <c:v>30.67</c:v>
                </c:pt>
                <c:pt idx="127">
                  <c:v>34.33</c:v>
                </c:pt>
                <c:pt idx="128">
                  <c:v>39.33</c:v>
                </c:pt>
                <c:pt idx="129">
                  <c:v>37.33</c:v>
                </c:pt>
                <c:pt idx="130">
                  <c:v>39.33</c:v>
                </c:pt>
                <c:pt idx="131">
                  <c:v>41</c:v>
                </c:pt>
                <c:pt idx="132">
                  <c:v>39.67</c:v>
                </c:pt>
                <c:pt idx="133">
                  <c:v>34.67</c:v>
                </c:pt>
                <c:pt idx="134">
                  <c:v>31</c:v>
                </c:pt>
                <c:pt idx="135">
                  <c:v>29.33</c:v>
                </c:pt>
                <c:pt idx="136">
                  <c:v>32.33</c:v>
                </c:pt>
                <c:pt idx="137">
                  <c:v>28</c:v>
                </c:pt>
                <c:pt idx="138">
                  <c:v>28</c:v>
                </c:pt>
                <c:pt idx="139">
                  <c:v>26</c:v>
                </c:pt>
                <c:pt idx="140">
                  <c:v>26.67</c:v>
                </c:pt>
                <c:pt idx="141">
                  <c:v>27</c:v>
                </c:pt>
                <c:pt idx="142">
                  <c:v>26.33</c:v>
                </c:pt>
                <c:pt idx="143">
                  <c:v>22</c:v>
                </c:pt>
                <c:pt idx="144">
                  <c:v>25.33</c:v>
                </c:pt>
                <c:pt idx="145">
                  <c:v>23.33</c:v>
                </c:pt>
                <c:pt idx="146">
                  <c:v>26.67</c:v>
                </c:pt>
                <c:pt idx="147">
                  <c:v>23</c:v>
                </c:pt>
                <c:pt idx="148">
                  <c:v>21.67</c:v>
                </c:pt>
                <c:pt idx="149">
                  <c:v>18.670000000000002</c:v>
                </c:pt>
                <c:pt idx="150">
                  <c:v>21</c:v>
                </c:pt>
                <c:pt idx="151">
                  <c:v>22.67</c:v>
                </c:pt>
                <c:pt idx="152">
                  <c:v>21</c:v>
                </c:pt>
                <c:pt idx="153">
                  <c:v>18</c:v>
                </c:pt>
                <c:pt idx="154">
                  <c:v>17</c:v>
                </c:pt>
                <c:pt idx="155">
                  <c:v>12.33</c:v>
                </c:pt>
                <c:pt idx="156">
                  <c:v>18.329999999999998</c:v>
                </c:pt>
                <c:pt idx="157">
                  <c:v>14</c:v>
                </c:pt>
                <c:pt idx="158">
                  <c:v>16.329999999999998</c:v>
                </c:pt>
                <c:pt idx="159">
                  <c:v>15.67</c:v>
                </c:pt>
                <c:pt idx="160">
                  <c:v>13.67</c:v>
                </c:pt>
                <c:pt idx="161">
                  <c:v>15.67</c:v>
                </c:pt>
                <c:pt idx="162">
                  <c:v>12.33</c:v>
                </c:pt>
                <c:pt idx="163">
                  <c:v>12</c:v>
                </c:pt>
                <c:pt idx="164">
                  <c:v>11</c:v>
                </c:pt>
                <c:pt idx="165">
                  <c:v>12</c:v>
                </c:pt>
                <c:pt idx="166">
                  <c:v>11</c:v>
                </c:pt>
                <c:pt idx="167">
                  <c:v>9.33</c:v>
                </c:pt>
                <c:pt idx="168">
                  <c:v>7.33</c:v>
                </c:pt>
                <c:pt idx="169">
                  <c:v>7.33</c:v>
                </c:pt>
                <c:pt idx="170">
                  <c:v>8</c:v>
                </c:pt>
                <c:pt idx="171">
                  <c:v>5.33</c:v>
                </c:pt>
                <c:pt idx="17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C-4E89-892A-72256E66B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630632"/>
        <c:axId val="544623432"/>
      </c:lineChart>
      <c:catAx>
        <c:axId val="54463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4623432"/>
        <c:crosses val="autoZero"/>
        <c:auto val="1"/>
        <c:lblAlgn val="ctr"/>
        <c:lblOffset val="100"/>
        <c:noMultiLvlLbl val="0"/>
      </c:catAx>
      <c:valAx>
        <c:axId val="54462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463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'Corpuscular Una rendija'!$B$1</c:f>
              <c:strCache>
                <c:ptCount val="1"/>
                <c:pt idx="0">
                  <c:v>Voltaje 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'Corpuscular Una rendija'!$A$2:$A$79</c:f>
              <c:numCache>
                <c:formatCode>General</c:formatCode>
                <c:ptCount val="7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</c:numCache>
            </c:numRef>
          </c:xVal>
          <c:yVal>
            <c:numRef>
              <c:f>'Corpuscular Una rendija'!$B$2:$B$79</c:f>
              <c:numCache>
                <c:formatCode>General</c:formatCode>
                <c:ptCount val="78"/>
                <c:pt idx="0">
                  <c:v>7</c:v>
                </c:pt>
                <c:pt idx="1">
                  <c:v>5.333333333333333</c:v>
                </c:pt>
                <c:pt idx="2">
                  <c:v>5</c:v>
                </c:pt>
                <c:pt idx="3">
                  <c:v>4.666666666666667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6.666666666666667</c:v>
                </c:pt>
                <c:pt idx="8">
                  <c:v>11.666666666666666</c:v>
                </c:pt>
                <c:pt idx="9">
                  <c:v>13</c:v>
                </c:pt>
                <c:pt idx="10">
                  <c:v>15</c:v>
                </c:pt>
                <c:pt idx="11">
                  <c:v>19</c:v>
                </c:pt>
                <c:pt idx="12">
                  <c:v>25.333333333333332</c:v>
                </c:pt>
                <c:pt idx="13">
                  <c:v>28</c:v>
                </c:pt>
                <c:pt idx="14">
                  <c:v>32.666666666666664</c:v>
                </c:pt>
                <c:pt idx="15">
                  <c:v>42</c:v>
                </c:pt>
                <c:pt idx="16">
                  <c:v>47.666666666666664</c:v>
                </c:pt>
                <c:pt idx="17">
                  <c:v>51.666666666666664</c:v>
                </c:pt>
                <c:pt idx="18">
                  <c:v>58</c:v>
                </c:pt>
                <c:pt idx="19">
                  <c:v>58.333333333333336</c:v>
                </c:pt>
                <c:pt idx="20">
                  <c:v>59</c:v>
                </c:pt>
                <c:pt idx="21">
                  <c:v>58.333333333333336</c:v>
                </c:pt>
                <c:pt idx="22">
                  <c:v>58</c:v>
                </c:pt>
                <c:pt idx="23">
                  <c:v>58.666666666666664</c:v>
                </c:pt>
                <c:pt idx="24">
                  <c:v>49.333333333333336</c:v>
                </c:pt>
                <c:pt idx="25">
                  <c:v>44</c:v>
                </c:pt>
                <c:pt idx="26">
                  <c:v>41</c:v>
                </c:pt>
                <c:pt idx="27">
                  <c:v>36</c:v>
                </c:pt>
                <c:pt idx="28">
                  <c:v>28.666666666666668</c:v>
                </c:pt>
                <c:pt idx="29">
                  <c:v>26.666666666666668</c:v>
                </c:pt>
                <c:pt idx="30">
                  <c:v>25.333333333333332</c:v>
                </c:pt>
                <c:pt idx="31">
                  <c:v>21</c:v>
                </c:pt>
                <c:pt idx="32">
                  <c:v>19.666666666666668</c:v>
                </c:pt>
                <c:pt idx="33">
                  <c:v>18</c:v>
                </c:pt>
                <c:pt idx="34">
                  <c:v>18</c:v>
                </c:pt>
                <c:pt idx="35">
                  <c:v>15.666666666666666</c:v>
                </c:pt>
                <c:pt idx="36">
                  <c:v>10.333333333333334</c:v>
                </c:pt>
                <c:pt idx="37">
                  <c:v>11</c:v>
                </c:pt>
                <c:pt idx="38">
                  <c:v>8.3333333333333339</c:v>
                </c:pt>
                <c:pt idx="39">
                  <c:v>7</c:v>
                </c:pt>
                <c:pt idx="4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6-47FF-9896-B6B5F2B3D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620552"/>
        <c:axId val="544620912"/>
      </c:scatterChart>
      <c:valAx>
        <c:axId val="54462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4620912"/>
        <c:crosses val="autoZero"/>
        <c:crossBetween val="midCat"/>
      </c:valAx>
      <c:valAx>
        <c:axId val="54462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462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152400</xdr:rowOff>
    </xdr:from>
    <xdr:to>
      <xdr:col>11</xdr:col>
      <xdr:colOff>180975</xdr:colOff>
      <xdr:row>19</xdr:row>
      <xdr:rowOff>85724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2E43229-33FF-D272-B0FD-965CB2C9E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742949</xdr:colOff>
      <xdr:row>0</xdr:row>
      <xdr:rowOff>119061</xdr:rowOff>
    </xdr:from>
    <xdr:to>
      <xdr:col>11</xdr:col>
      <xdr:colOff>200024</xdr:colOff>
      <xdr:row>16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E483B8-935A-F048-A420-7E8FC389E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0</xdr:colOff>
      <xdr:row>15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927C89-5BC7-42E0-A8A9-7C70B7893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2</xdr:row>
      <xdr:rowOff>61912</xdr:rowOff>
    </xdr:from>
    <xdr:to>
      <xdr:col>14</xdr:col>
      <xdr:colOff>704850</xdr:colOff>
      <xdr:row>16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4A10C3-594F-2118-15D8-480AD9C16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8019-8937-44FB-A2CF-07220879DB32}">
  <dimension ref="A1:M193"/>
  <sheetViews>
    <sheetView workbookViewId="0">
      <selection activeCell="M10" sqref="M10"/>
    </sheetView>
  </sheetViews>
  <sheetFormatPr baseColWidth="10" defaultRowHeight="15" x14ac:dyDescent="0.25"/>
  <cols>
    <col min="1" max="1" width="18.28515625" customWidth="1"/>
    <col min="3" max="3" width="15.85546875" customWidth="1"/>
  </cols>
  <sheetData>
    <row r="1" spans="1:13" x14ac:dyDescent="0.25">
      <c r="A1" t="s">
        <v>3</v>
      </c>
      <c r="B1" t="s">
        <v>0</v>
      </c>
    </row>
    <row r="2" spans="1:13" x14ac:dyDescent="0.25">
      <c r="A2">
        <f>C2</f>
        <v>0</v>
      </c>
      <c r="B2">
        <v>11.9</v>
      </c>
      <c r="C2" s="1">
        <f>E2</f>
        <v>0</v>
      </c>
    </row>
    <row r="3" spans="1:13" x14ac:dyDescent="0.25">
      <c r="A3">
        <f>A2+5</f>
        <v>5</v>
      </c>
      <c r="B3">
        <v>12.9</v>
      </c>
      <c r="C3">
        <f>C2+50</f>
        <v>50</v>
      </c>
    </row>
    <row r="4" spans="1:13" x14ac:dyDescent="0.25">
      <c r="A4">
        <f t="shared" ref="A4:A67" si="0">A3+5</f>
        <v>10</v>
      </c>
      <c r="B4">
        <v>14.1</v>
      </c>
      <c r="C4">
        <f t="shared" ref="C4:C60" si="1">C3+50</f>
        <v>100</v>
      </c>
      <c r="M4">
        <f>MAX(B2:B193)</f>
        <v>165.1</v>
      </c>
    </row>
    <row r="5" spans="1:13" x14ac:dyDescent="0.25">
      <c r="A5">
        <f t="shared" si="0"/>
        <v>15</v>
      </c>
      <c r="B5">
        <v>15.1</v>
      </c>
      <c r="C5">
        <f t="shared" si="1"/>
        <v>150</v>
      </c>
    </row>
    <row r="6" spans="1:13" x14ac:dyDescent="0.25">
      <c r="A6">
        <f t="shared" si="0"/>
        <v>20</v>
      </c>
      <c r="B6">
        <v>15.8</v>
      </c>
      <c r="C6">
        <f t="shared" si="1"/>
        <v>200</v>
      </c>
    </row>
    <row r="7" spans="1:13" x14ac:dyDescent="0.25">
      <c r="A7">
        <f t="shared" si="0"/>
        <v>25</v>
      </c>
      <c r="B7">
        <v>16.2</v>
      </c>
      <c r="C7">
        <f t="shared" si="1"/>
        <v>250</v>
      </c>
    </row>
    <row r="8" spans="1:13" x14ac:dyDescent="0.25">
      <c r="A8">
        <f t="shared" si="0"/>
        <v>30</v>
      </c>
      <c r="B8">
        <v>16.2</v>
      </c>
      <c r="C8">
        <f t="shared" si="1"/>
        <v>300</v>
      </c>
    </row>
    <row r="9" spans="1:13" x14ac:dyDescent="0.25">
      <c r="A9">
        <f t="shared" si="0"/>
        <v>35</v>
      </c>
      <c r="B9">
        <v>16.100000000000001</v>
      </c>
      <c r="C9">
        <f t="shared" si="1"/>
        <v>350</v>
      </c>
    </row>
    <row r="10" spans="1:13" x14ac:dyDescent="0.25">
      <c r="A10">
        <f t="shared" si="0"/>
        <v>40</v>
      </c>
      <c r="B10">
        <v>15.9</v>
      </c>
      <c r="C10">
        <f t="shared" si="1"/>
        <v>400</v>
      </c>
    </row>
    <row r="11" spans="1:13" x14ac:dyDescent="0.25">
      <c r="A11">
        <f t="shared" si="0"/>
        <v>45</v>
      </c>
      <c r="B11">
        <v>15.4</v>
      </c>
      <c r="C11">
        <f t="shared" si="1"/>
        <v>450</v>
      </c>
    </row>
    <row r="12" spans="1:13" x14ac:dyDescent="0.25">
      <c r="A12">
        <f t="shared" si="0"/>
        <v>50</v>
      </c>
      <c r="B12">
        <v>15</v>
      </c>
      <c r="C12" s="1">
        <f>E12</f>
        <v>0</v>
      </c>
    </row>
    <row r="13" spans="1:13" x14ac:dyDescent="0.25">
      <c r="A13">
        <f t="shared" si="0"/>
        <v>55</v>
      </c>
      <c r="B13">
        <v>14.7</v>
      </c>
      <c r="C13">
        <f>C12+50</f>
        <v>50</v>
      </c>
    </row>
    <row r="14" spans="1:13" x14ac:dyDescent="0.25">
      <c r="A14">
        <f t="shared" si="0"/>
        <v>60</v>
      </c>
      <c r="B14">
        <v>14.7</v>
      </c>
      <c r="C14">
        <f t="shared" si="1"/>
        <v>100</v>
      </c>
    </row>
    <row r="15" spans="1:13" x14ac:dyDescent="0.25">
      <c r="A15">
        <f t="shared" si="0"/>
        <v>65</v>
      </c>
      <c r="B15">
        <v>15</v>
      </c>
      <c r="C15">
        <f t="shared" si="1"/>
        <v>150</v>
      </c>
    </row>
    <row r="16" spans="1:13" x14ac:dyDescent="0.25">
      <c r="A16">
        <f t="shared" si="0"/>
        <v>70</v>
      </c>
      <c r="B16">
        <v>15.7</v>
      </c>
      <c r="C16">
        <f t="shared" si="1"/>
        <v>200</v>
      </c>
    </row>
    <row r="17" spans="1:3" x14ac:dyDescent="0.25">
      <c r="A17">
        <f t="shared" si="0"/>
        <v>75</v>
      </c>
      <c r="B17">
        <v>16.899999999999999</v>
      </c>
      <c r="C17">
        <f t="shared" si="1"/>
        <v>250</v>
      </c>
    </row>
    <row r="18" spans="1:3" x14ac:dyDescent="0.25">
      <c r="A18">
        <f t="shared" si="0"/>
        <v>80</v>
      </c>
      <c r="B18">
        <v>18.7</v>
      </c>
      <c r="C18">
        <f t="shared" si="1"/>
        <v>300</v>
      </c>
    </row>
    <row r="19" spans="1:3" x14ac:dyDescent="0.25">
      <c r="A19">
        <f t="shared" si="0"/>
        <v>85</v>
      </c>
      <c r="B19">
        <v>20.8</v>
      </c>
      <c r="C19">
        <f>C18+50</f>
        <v>350</v>
      </c>
    </row>
    <row r="20" spans="1:3" x14ac:dyDescent="0.25">
      <c r="A20">
        <f t="shared" si="0"/>
        <v>90</v>
      </c>
      <c r="B20">
        <v>23.2</v>
      </c>
      <c r="C20">
        <f t="shared" si="1"/>
        <v>400</v>
      </c>
    </row>
    <row r="21" spans="1:3" x14ac:dyDescent="0.25">
      <c r="A21">
        <f t="shared" si="0"/>
        <v>95</v>
      </c>
      <c r="B21">
        <v>25.9</v>
      </c>
      <c r="C21">
        <f t="shared" si="1"/>
        <v>450</v>
      </c>
    </row>
    <row r="22" spans="1:3" x14ac:dyDescent="0.25">
      <c r="A22">
        <f t="shared" si="0"/>
        <v>100</v>
      </c>
      <c r="B22">
        <v>28.8</v>
      </c>
      <c r="C22" s="1">
        <f>E22</f>
        <v>0</v>
      </c>
    </row>
    <row r="23" spans="1:3" x14ac:dyDescent="0.25">
      <c r="A23">
        <f t="shared" si="0"/>
        <v>105</v>
      </c>
      <c r="B23">
        <v>31.6</v>
      </c>
      <c r="C23">
        <f>C22+50</f>
        <v>50</v>
      </c>
    </row>
    <row r="24" spans="1:3" x14ac:dyDescent="0.25">
      <c r="A24">
        <f t="shared" si="0"/>
        <v>110</v>
      </c>
      <c r="B24">
        <v>33.5</v>
      </c>
      <c r="C24">
        <f t="shared" si="1"/>
        <v>100</v>
      </c>
    </row>
    <row r="25" spans="1:3" x14ac:dyDescent="0.25">
      <c r="A25">
        <f t="shared" si="0"/>
        <v>115</v>
      </c>
      <c r="B25">
        <v>35.700000000000003</v>
      </c>
      <c r="C25">
        <f t="shared" si="1"/>
        <v>150</v>
      </c>
    </row>
    <row r="26" spans="1:3" x14ac:dyDescent="0.25">
      <c r="A26">
        <f t="shared" si="0"/>
        <v>120</v>
      </c>
      <c r="B26">
        <v>36.6</v>
      </c>
      <c r="C26">
        <f t="shared" si="1"/>
        <v>200</v>
      </c>
    </row>
    <row r="27" spans="1:3" x14ac:dyDescent="0.25">
      <c r="A27">
        <f t="shared" si="0"/>
        <v>125</v>
      </c>
      <c r="B27">
        <v>36.700000000000003</v>
      </c>
      <c r="C27">
        <f t="shared" si="1"/>
        <v>250</v>
      </c>
    </row>
    <row r="28" spans="1:3" x14ac:dyDescent="0.25">
      <c r="A28">
        <f t="shared" si="0"/>
        <v>130</v>
      </c>
      <c r="B28">
        <v>36</v>
      </c>
      <c r="C28">
        <f t="shared" si="1"/>
        <v>300</v>
      </c>
    </row>
    <row r="29" spans="1:3" x14ac:dyDescent="0.25">
      <c r="A29">
        <f t="shared" si="0"/>
        <v>135</v>
      </c>
      <c r="B29">
        <v>34.299999999999997</v>
      </c>
      <c r="C29">
        <f t="shared" si="1"/>
        <v>350</v>
      </c>
    </row>
    <row r="30" spans="1:3" x14ac:dyDescent="0.25">
      <c r="A30">
        <f t="shared" si="0"/>
        <v>140</v>
      </c>
      <c r="B30">
        <v>32.1</v>
      </c>
      <c r="C30">
        <f t="shared" si="1"/>
        <v>400</v>
      </c>
    </row>
    <row r="31" spans="1:3" x14ac:dyDescent="0.25">
      <c r="A31">
        <f t="shared" si="0"/>
        <v>145</v>
      </c>
      <c r="B31">
        <v>29.9</v>
      </c>
      <c r="C31">
        <f t="shared" si="1"/>
        <v>450</v>
      </c>
    </row>
    <row r="32" spans="1:3" x14ac:dyDescent="0.25">
      <c r="A32">
        <f t="shared" si="0"/>
        <v>150</v>
      </c>
      <c r="B32">
        <v>26.9</v>
      </c>
      <c r="C32" s="1">
        <f>E32</f>
        <v>0</v>
      </c>
    </row>
    <row r="33" spans="1:4" x14ac:dyDescent="0.25">
      <c r="A33">
        <f t="shared" si="0"/>
        <v>155</v>
      </c>
      <c r="B33">
        <v>24.1</v>
      </c>
      <c r="C33">
        <f>C32+50</f>
        <v>50</v>
      </c>
    </row>
    <row r="34" spans="1:4" x14ac:dyDescent="0.25">
      <c r="A34">
        <f t="shared" si="0"/>
        <v>160</v>
      </c>
      <c r="B34">
        <v>21.9</v>
      </c>
      <c r="C34">
        <f t="shared" si="1"/>
        <v>100</v>
      </c>
    </row>
    <row r="35" spans="1:4" x14ac:dyDescent="0.25">
      <c r="A35">
        <f t="shared" si="0"/>
        <v>165</v>
      </c>
      <c r="B35">
        <v>20.7</v>
      </c>
      <c r="C35">
        <f t="shared" si="1"/>
        <v>150</v>
      </c>
    </row>
    <row r="36" spans="1:4" x14ac:dyDescent="0.25">
      <c r="A36">
        <f t="shared" si="0"/>
        <v>170</v>
      </c>
      <c r="B36">
        <v>20.8</v>
      </c>
      <c r="C36">
        <f t="shared" si="1"/>
        <v>200</v>
      </c>
    </row>
    <row r="37" spans="1:4" x14ac:dyDescent="0.25">
      <c r="A37">
        <f t="shared" si="0"/>
        <v>175</v>
      </c>
      <c r="B37">
        <v>22.3</v>
      </c>
      <c r="C37">
        <f t="shared" si="1"/>
        <v>250</v>
      </c>
    </row>
    <row r="38" spans="1:4" x14ac:dyDescent="0.25">
      <c r="A38">
        <f t="shared" si="0"/>
        <v>180</v>
      </c>
      <c r="B38">
        <v>25.6</v>
      </c>
      <c r="C38">
        <f t="shared" si="1"/>
        <v>300</v>
      </c>
    </row>
    <row r="39" spans="1:4" x14ac:dyDescent="0.25">
      <c r="A39">
        <f t="shared" si="0"/>
        <v>185</v>
      </c>
      <c r="B39">
        <v>29.5</v>
      </c>
      <c r="C39">
        <f t="shared" si="1"/>
        <v>350</v>
      </c>
    </row>
    <row r="40" spans="1:4" x14ac:dyDescent="0.25">
      <c r="A40">
        <f t="shared" si="0"/>
        <v>190</v>
      </c>
      <c r="B40">
        <v>36.1</v>
      </c>
      <c r="C40">
        <f t="shared" si="1"/>
        <v>400</v>
      </c>
    </row>
    <row r="41" spans="1:4" x14ac:dyDescent="0.25">
      <c r="A41">
        <f t="shared" si="0"/>
        <v>195</v>
      </c>
      <c r="B41">
        <v>42.6</v>
      </c>
      <c r="C41">
        <f t="shared" si="1"/>
        <v>450</v>
      </c>
    </row>
    <row r="42" spans="1:4" x14ac:dyDescent="0.25">
      <c r="A42">
        <f t="shared" si="0"/>
        <v>200</v>
      </c>
      <c r="B42">
        <v>47.7</v>
      </c>
      <c r="C42" s="1">
        <f>E42</f>
        <v>0</v>
      </c>
      <c r="D42" t="s">
        <v>2</v>
      </c>
    </row>
    <row r="43" spans="1:4" x14ac:dyDescent="0.25">
      <c r="A43">
        <f t="shared" si="0"/>
        <v>205</v>
      </c>
      <c r="B43">
        <v>55.1</v>
      </c>
      <c r="C43">
        <f>C42+50</f>
        <v>50</v>
      </c>
    </row>
    <row r="44" spans="1:4" x14ac:dyDescent="0.25">
      <c r="A44">
        <f t="shared" si="0"/>
        <v>210</v>
      </c>
      <c r="B44">
        <v>60.9</v>
      </c>
      <c r="C44">
        <f t="shared" si="1"/>
        <v>100</v>
      </c>
    </row>
    <row r="45" spans="1:4" x14ac:dyDescent="0.25">
      <c r="A45">
        <f t="shared" si="0"/>
        <v>215</v>
      </c>
      <c r="B45">
        <v>66.3</v>
      </c>
      <c r="C45">
        <f t="shared" si="1"/>
        <v>150</v>
      </c>
    </row>
    <row r="46" spans="1:4" x14ac:dyDescent="0.25">
      <c r="A46">
        <f t="shared" si="0"/>
        <v>220</v>
      </c>
      <c r="B46">
        <v>69.5</v>
      </c>
      <c r="C46">
        <f t="shared" si="1"/>
        <v>200</v>
      </c>
    </row>
    <row r="47" spans="1:4" x14ac:dyDescent="0.25">
      <c r="A47">
        <f t="shared" si="0"/>
        <v>225</v>
      </c>
      <c r="B47">
        <v>70.3</v>
      </c>
      <c r="C47">
        <f t="shared" si="1"/>
        <v>250</v>
      </c>
    </row>
    <row r="48" spans="1:4" x14ac:dyDescent="0.25">
      <c r="A48">
        <f t="shared" si="0"/>
        <v>230</v>
      </c>
      <c r="B48">
        <v>68.7</v>
      </c>
      <c r="C48">
        <f t="shared" si="1"/>
        <v>300</v>
      </c>
    </row>
    <row r="49" spans="1:3" x14ac:dyDescent="0.25">
      <c r="A49">
        <f t="shared" si="0"/>
        <v>235</v>
      </c>
      <c r="B49">
        <v>64.900000000000006</v>
      </c>
      <c r="C49">
        <f t="shared" si="1"/>
        <v>350</v>
      </c>
    </row>
    <row r="50" spans="1:3" x14ac:dyDescent="0.25">
      <c r="A50">
        <f t="shared" si="0"/>
        <v>240</v>
      </c>
      <c r="B50">
        <v>59.4</v>
      </c>
      <c r="C50">
        <f t="shared" si="1"/>
        <v>400</v>
      </c>
    </row>
    <row r="51" spans="1:3" x14ac:dyDescent="0.25">
      <c r="A51">
        <f t="shared" si="0"/>
        <v>245</v>
      </c>
      <c r="B51">
        <v>53.2</v>
      </c>
      <c r="C51">
        <f t="shared" si="1"/>
        <v>450</v>
      </c>
    </row>
    <row r="52" spans="1:3" x14ac:dyDescent="0.25">
      <c r="A52">
        <f t="shared" si="0"/>
        <v>250</v>
      </c>
      <c r="B52">
        <v>45</v>
      </c>
      <c r="C52" s="1">
        <f>E52</f>
        <v>0</v>
      </c>
    </row>
    <row r="53" spans="1:3" x14ac:dyDescent="0.25">
      <c r="A53">
        <f t="shared" si="0"/>
        <v>255</v>
      </c>
      <c r="B53">
        <v>38</v>
      </c>
      <c r="C53">
        <f>C52+50</f>
        <v>50</v>
      </c>
    </row>
    <row r="54" spans="1:3" x14ac:dyDescent="0.25">
      <c r="A54">
        <f t="shared" si="0"/>
        <v>260</v>
      </c>
      <c r="B54">
        <v>32.200000000000003</v>
      </c>
      <c r="C54">
        <f t="shared" si="1"/>
        <v>100</v>
      </c>
    </row>
    <row r="55" spans="1:3" x14ac:dyDescent="0.25">
      <c r="A55">
        <f t="shared" si="0"/>
        <v>265</v>
      </c>
      <c r="B55">
        <v>28.5</v>
      </c>
      <c r="C55">
        <f t="shared" si="1"/>
        <v>150</v>
      </c>
    </row>
    <row r="56" spans="1:3" x14ac:dyDescent="0.25">
      <c r="A56">
        <f t="shared" si="0"/>
        <v>270</v>
      </c>
      <c r="B56">
        <v>27.8</v>
      </c>
      <c r="C56">
        <f t="shared" si="1"/>
        <v>200</v>
      </c>
    </row>
    <row r="57" spans="1:3" x14ac:dyDescent="0.25">
      <c r="A57">
        <f t="shared" si="0"/>
        <v>275</v>
      </c>
      <c r="B57">
        <v>30.8</v>
      </c>
      <c r="C57">
        <f t="shared" si="1"/>
        <v>250</v>
      </c>
    </row>
    <row r="58" spans="1:3" x14ac:dyDescent="0.25">
      <c r="A58">
        <f t="shared" si="0"/>
        <v>280</v>
      </c>
      <c r="B58">
        <v>37.299999999999997</v>
      </c>
      <c r="C58">
        <f t="shared" si="1"/>
        <v>300</v>
      </c>
    </row>
    <row r="59" spans="1:3" x14ac:dyDescent="0.25">
      <c r="A59">
        <f t="shared" si="0"/>
        <v>285</v>
      </c>
      <c r="B59">
        <v>46.8</v>
      </c>
      <c r="C59">
        <f t="shared" si="1"/>
        <v>350</v>
      </c>
    </row>
    <row r="60" spans="1:3" x14ac:dyDescent="0.25">
      <c r="A60">
        <f t="shared" si="0"/>
        <v>290</v>
      </c>
      <c r="B60">
        <v>57.6</v>
      </c>
      <c r="C60">
        <f t="shared" si="1"/>
        <v>400</v>
      </c>
    </row>
    <row r="61" spans="1:3" x14ac:dyDescent="0.25">
      <c r="A61">
        <f t="shared" si="0"/>
        <v>295</v>
      </c>
      <c r="B61">
        <v>71.2</v>
      </c>
      <c r="C61">
        <f t="shared" ref="C61" si="2">C60+50</f>
        <v>450</v>
      </c>
    </row>
    <row r="62" spans="1:3" x14ac:dyDescent="0.25">
      <c r="A62">
        <f t="shared" si="0"/>
        <v>300</v>
      </c>
      <c r="B62">
        <v>84.7</v>
      </c>
      <c r="C62" s="1">
        <f>E62</f>
        <v>0</v>
      </c>
    </row>
    <row r="63" spans="1:3" x14ac:dyDescent="0.25">
      <c r="A63">
        <f t="shared" si="0"/>
        <v>305</v>
      </c>
      <c r="B63">
        <v>97.8</v>
      </c>
      <c r="C63">
        <f>C62+50</f>
        <v>50</v>
      </c>
    </row>
    <row r="64" spans="1:3" x14ac:dyDescent="0.25">
      <c r="A64">
        <f t="shared" si="0"/>
        <v>310</v>
      </c>
      <c r="B64">
        <v>108.4</v>
      </c>
      <c r="C64">
        <f t="shared" ref="C64:C71" si="3">C63+50</f>
        <v>100</v>
      </c>
    </row>
    <row r="65" spans="1:3" x14ac:dyDescent="0.25">
      <c r="A65">
        <f t="shared" si="0"/>
        <v>315</v>
      </c>
      <c r="B65">
        <v>114.4</v>
      </c>
      <c r="C65">
        <f t="shared" si="3"/>
        <v>150</v>
      </c>
    </row>
    <row r="66" spans="1:3" x14ac:dyDescent="0.25">
      <c r="A66">
        <f t="shared" si="0"/>
        <v>320</v>
      </c>
      <c r="B66">
        <v>116.4</v>
      </c>
      <c r="C66">
        <f t="shared" si="3"/>
        <v>200</v>
      </c>
    </row>
    <row r="67" spans="1:3" x14ac:dyDescent="0.25">
      <c r="A67">
        <f t="shared" si="0"/>
        <v>325</v>
      </c>
      <c r="B67">
        <v>113.13</v>
      </c>
      <c r="C67">
        <f t="shared" si="3"/>
        <v>250</v>
      </c>
    </row>
    <row r="68" spans="1:3" x14ac:dyDescent="0.25">
      <c r="A68">
        <f t="shared" ref="A68:A131" si="4">A67+5</f>
        <v>330</v>
      </c>
      <c r="B68">
        <v>106.4</v>
      </c>
      <c r="C68">
        <f t="shared" si="3"/>
        <v>300</v>
      </c>
    </row>
    <row r="69" spans="1:3" x14ac:dyDescent="0.25">
      <c r="A69">
        <f t="shared" si="4"/>
        <v>335</v>
      </c>
      <c r="B69">
        <v>95.9</v>
      </c>
      <c r="C69">
        <f t="shared" si="3"/>
        <v>350</v>
      </c>
    </row>
    <row r="70" spans="1:3" x14ac:dyDescent="0.25">
      <c r="A70">
        <f t="shared" si="4"/>
        <v>340</v>
      </c>
      <c r="B70">
        <v>82.8</v>
      </c>
      <c r="C70">
        <f t="shared" si="3"/>
        <v>400</v>
      </c>
    </row>
    <row r="71" spans="1:3" x14ac:dyDescent="0.25">
      <c r="A71">
        <f t="shared" si="4"/>
        <v>345</v>
      </c>
      <c r="B71">
        <v>68.099999999999994</v>
      </c>
      <c r="C71">
        <f t="shared" si="3"/>
        <v>450</v>
      </c>
    </row>
    <row r="72" spans="1:3" x14ac:dyDescent="0.25">
      <c r="A72">
        <f t="shared" si="4"/>
        <v>350</v>
      </c>
      <c r="B72">
        <v>56.3</v>
      </c>
      <c r="C72" s="1">
        <f>E74</f>
        <v>0</v>
      </c>
    </row>
    <row r="73" spans="1:3" x14ac:dyDescent="0.25">
      <c r="A73">
        <f t="shared" si="4"/>
        <v>355</v>
      </c>
      <c r="B73">
        <v>46.7</v>
      </c>
      <c r="C73">
        <f>C72+50</f>
        <v>50</v>
      </c>
    </row>
    <row r="74" spans="1:3" x14ac:dyDescent="0.25">
      <c r="A74">
        <f t="shared" si="4"/>
        <v>360</v>
      </c>
      <c r="B74">
        <v>46.9</v>
      </c>
      <c r="C74">
        <f t="shared" ref="C74:C81" si="5">C73+50</f>
        <v>100</v>
      </c>
    </row>
    <row r="75" spans="1:3" x14ac:dyDescent="0.25">
      <c r="A75">
        <f t="shared" si="4"/>
        <v>365</v>
      </c>
      <c r="B75">
        <v>35.5</v>
      </c>
      <c r="C75">
        <f t="shared" si="5"/>
        <v>150</v>
      </c>
    </row>
    <row r="76" spans="1:3" x14ac:dyDescent="0.25">
      <c r="A76">
        <f t="shared" si="4"/>
        <v>370</v>
      </c>
      <c r="B76">
        <v>40.4</v>
      </c>
      <c r="C76">
        <f t="shared" si="5"/>
        <v>200</v>
      </c>
    </row>
    <row r="77" spans="1:3" x14ac:dyDescent="0.25">
      <c r="A77">
        <f t="shared" si="4"/>
        <v>375</v>
      </c>
      <c r="B77">
        <v>50.8</v>
      </c>
      <c r="C77">
        <f t="shared" si="5"/>
        <v>250</v>
      </c>
    </row>
    <row r="78" spans="1:3" x14ac:dyDescent="0.25">
      <c r="A78">
        <f t="shared" si="4"/>
        <v>380</v>
      </c>
      <c r="B78">
        <v>66.8</v>
      </c>
      <c r="C78">
        <f t="shared" si="5"/>
        <v>300</v>
      </c>
    </row>
    <row r="79" spans="1:3" x14ac:dyDescent="0.25">
      <c r="A79">
        <f t="shared" si="4"/>
        <v>385</v>
      </c>
      <c r="B79">
        <v>85.9</v>
      </c>
      <c r="C79">
        <f t="shared" si="5"/>
        <v>350</v>
      </c>
    </row>
    <row r="80" spans="1:3" x14ac:dyDescent="0.25">
      <c r="A80">
        <f t="shared" si="4"/>
        <v>390</v>
      </c>
      <c r="B80">
        <v>105.4</v>
      </c>
      <c r="C80">
        <f t="shared" si="5"/>
        <v>400</v>
      </c>
    </row>
    <row r="81" spans="1:3" x14ac:dyDescent="0.25">
      <c r="A81">
        <f t="shared" si="4"/>
        <v>395</v>
      </c>
      <c r="B81">
        <v>122.7</v>
      </c>
      <c r="C81">
        <f t="shared" si="5"/>
        <v>450</v>
      </c>
    </row>
    <row r="82" spans="1:3" x14ac:dyDescent="0.25">
      <c r="A82">
        <f t="shared" si="4"/>
        <v>400</v>
      </c>
      <c r="B82">
        <v>137.9</v>
      </c>
      <c r="C82" s="1">
        <f>E84</f>
        <v>0</v>
      </c>
    </row>
    <row r="83" spans="1:3" x14ac:dyDescent="0.25">
      <c r="A83">
        <f t="shared" si="4"/>
        <v>405</v>
      </c>
      <c r="B83">
        <v>150.30000000000001</v>
      </c>
      <c r="C83">
        <f>C82+50</f>
        <v>50</v>
      </c>
    </row>
    <row r="84" spans="1:3" x14ac:dyDescent="0.25">
      <c r="A84">
        <f t="shared" si="4"/>
        <v>410</v>
      </c>
      <c r="B84">
        <v>157.30000000000001</v>
      </c>
      <c r="C84">
        <f t="shared" ref="C84:C91" si="6">C83+50</f>
        <v>100</v>
      </c>
    </row>
    <row r="85" spans="1:3" x14ac:dyDescent="0.25">
      <c r="A85">
        <f t="shared" si="4"/>
        <v>415</v>
      </c>
      <c r="B85">
        <v>156.6</v>
      </c>
      <c r="C85">
        <f t="shared" si="6"/>
        <v>150</v>
      </c>
    </row>
    <row r="86" spans="1:3" x14ac:dyDescent="0.25">
      <c r="A86">
        <f t="shared" si="4"/>
        <v>420</v>
      </c>
      <c r="B86">
        <v>149.6</v>
      </c>
      <c r="C86">
        <f t="shared" si="6"/>
        <v>200</v>
      </c>
    </row>
    <row r="87" spans="1:3" x14ac:dyDescent="0.25">
      <c r="A87">
        <f t="shared" si="4"/>
        <v>425</v>
      </c>
      <c r="B87">
        <v>134.19999999999999</v>
      </c>
      <c r="C87">
        <f t="shared" si="6"/>
        <v>250</v>
      </c>
    </row>
    <row r="88" spans="1:3" x14ac:dyDescent="0.25">
      <c r="A88">
        <f t="shared" si="4"/>
        <v>430</v>
      </c>
      <c r="B88">
        <v>115.3</v>
      </c>
      <c r="C88">
        <f t="shared" si="6"/>
        <v>300</v>
      </c>
    </row>
    <row r="89" spans="1:3" x14ac:dyDescent="0.25">
      <c r="A89">
        <f t="shared" si="4"/>
        <v>435</v>
      </c>
      <c r="B89">
        <v>94.4</v>
      </c>
      <c r="C89">
        <f t="shared" si="6"/>
        <v>350</v>
      </c>
    </row>
    <row r="90" spans="1:3" x14ac:dyDescent="0.25">
      <c r="A90">
        <f t="shared" si="4"/>
        <v>440</v>
      </c>
      <c r="B90">
        <v>74.8</v>
      </c>
      <c r="C90">
        <f t="shared" si="6"/>
        <v>400</v>
      </c>
    </row>
    <row r="91" spans="1:3" x14ac:dyDescent="0.25">
      <c r="A91">
        <f t="shared" si="4"/>
        <v>445</v>
      </c>
      <c r="B91">
        <v>57.6</v>
      </c>
      <c r="C91">
        <f t="shared" si="6"/>
        <v>450</v>
      </c>
    </row>
    <row r="92" spans="1:3" x14ac:dyDescent="0.25">
      <c r="A92">
        <f t="shared" si="4"/>
        <v>450</v>
      </c>
      <c r="B92">
        <v>45.7</v>
      </c>
      <c r="C92" s="1">
        <f>E94</f>
        <v>0</v>
      </c>
    </row>
    <row r="93" spans="1:3" x14ac:dyDescent="0.25">
      <c r="A93">
        <f t="shared" si="4"/>
        <v>455</v>
      </c>
      <c r="B93">
        <v>42.2</v>
      </c>
      <c r="C93">
        <f>C92+50</f>
        <v>50</v>
      </c>
    </row>
    <row r="94" spans="1:3" x14ac:dyDescent="0.25">
      <c r="A94">
        <f t="shared" si="4"/>
        <v>460</v>
      </c>
      <c r="B94">
        <v>42.2</v>
      </c>
      <c r="C94">
        <f t="shared" ref="C94:C101" si="7">C93+50</f>
        <v>100</v>
      </c>
    </row>
    <row r="95" spans="1:3" x14ac:dyDescent="0.25">
      <c r="A95">
        <f t="shared" si="4"/>
        <v>465</v>
      </c>
      <c r="B95">
        <v>50.8</v>
      </c>
      <c r="C95">
        <f t="shared" si="7"/>
        <v>150</v>
      </c>
    </row>
    <row r="96" spans="1:3" x14ac:dyDescent="0.25">
      <c r="A96">
        <f t="shared" si="4"/>
        <v>470</v>
      </c>
      <c r="B96">
        <v>67.3</v>
      </c>
      <c r="C96">
        <f t="shared" si="7"/>
        <v>200</v>
      </c>
    </row>
    <row r="97" spans="1:3" x14ac:dyDescent="0.25">
      <c r="A97">
        <f t="shared" si="4"/>
        <v>475</v>
      </c>
      <c r="B97">
        <v>87.8</v>
      </c>
      <c r="C97">
        <f t="shared" si="7"/>
        <v>250</v>
      </c>
    </row>
    <row r="98" spans="1:3" x14ac:dyDescent="0.25">
      <c r="A98">
        <f t="shared" si="4"/>
        <v>480</v>
      </c>
      <c r="B98">
        <v>110.1</v>
      </c>
      <c r="C98">
        <f t="shared" si="7"/>
        <v>300</v>
      </c>
    </row>
    <row r="99" spans="1:3" x14ac:dyDescent="0.25">
      <c r="A99">
        <f t="shared" si="4"/>
        <v>485</v>
      </c>
      <c r="B99">
        <v>131.5</v>
      </c>
      <c r="C99">
        <f t="shared" si="7"/>
        <v>350</v>
      </c>
    </row>
    <row r="100" spans="1:3" x14ac:dyDescent="0.25">
      <c r="A100">
        <f t="shared" si="4"/>
        <v>490</v>
      </c>
      <c r="B100">
        <v>148.9</v>
      </c>
      <c r="C100">
        <f t="shared" si="7"/>
        <v>400</v>
      </c>
    </row>
    <row r="101" spans="1:3" x14ac:dyDescent="0.25">
      <c r="A101">
        <f t="shared" si="4"/>
        <v>495</v>
      </c>
      <c r="B101">
        <v>160.1</v>
      </c>
      <c r="C101">
        <f t="shared" si="7"/>
        <v>450</v>
      </c>
    </row>
    <row r="102" spans="1:3" x14ac:dyDescent="0.25">
      <c r="A102">
        <f t="shared" si="4"/>
        <v>500</v>
      </c>
      <c r="B102">
        <v>165.1</v>
      </c>
      <c r="C102" s="1">
        <f>E104</f>
        <v>0</v>
      </c>
    </row>
    <row r="103" spans="1:3" x14ac:dyDescent="0.25">
      <c r="A103">
        <f t="shared" si="4"/>
        <v>505</v>
      </c>
      <c r="B103">
        <v>162.5</v>
      </c>
      <c r="C103">
        <f>C102+50</f>
        <v>50</v>
      </c>
    </row>
    <row r="104" spans="1:3" x14ac:dyDescent="0.25">
      <c r="A104">
        <f t="shared" si="4"/>
        <v>510</v>
      </c>
      <c r="B104">
        <v>152.19999999999999</v>
      </c>
      <c r="C104">
        <f t="shared" ref="C104:C111" si="8">C103+50</f>
        <v>100</v>
      </c>
    </row>
    <row r="105" spans="1:3" x14ac:dyDescent="0.25">
      <c r="A105">
        <f t="shared" si="4"/>
        <v>515</v>
      </c>
      <c r="B105">
        <v>135.80000000000001</v>
      </c>
      <c r="C105">
        <f t="shared" si="8"/>
        <v>150</v>
      </c>
    </row>
    <row r="106" spans="1:3" x14ac:dyDescent="0.25">
      <c r="A106">
        <f t="shared" si="4"/>
        <v>520</v>
      </c>
      <c r="B106">
        <v>114.4</v>
      </c>
      <c r="C106">
        <f t="shared" si="8"/>
        <v>200</v>
      </c>
    </row>
    <row r="107" spans="1:3" x14ac:dyDescent="0.25">
      <c r="A107">
        <f t="shared" si="4"/>
        <v>525</v>
      </c>
      <c r="B107">
        <v>91.5</v>
      </c>
      <c r="C107">
        <f t="shared" si="8"/>
        <v>250</v>
      </c>
    </row>
    <row r="108" spans="1:3" x14ac:dyDescent="0.25">
      <c r="A108">
        <f t="shared" si="4"/>
        <v>530</v>
      </c>
      <c r="B108">
        <v>71</v>
      </c>
      <c r="C108">
        <f t="shared" si="8"/>
        <v>300</v>
      </c>
    </row>
    <row r="109" spans="1:3" x14ac:dyDescent="0.25">
      <c r="A109">
        <f t="shared" si="4"/>
        <v>535</v>
      </c>
      <c r="B109">
        <v>54.2</v>
      </c>
      <c r="C109">
        <f t="shared" si="8"/>
        <v>350</v>
      </c>
    </row>
    <row r="110" spans="1:3" x14ac:dyDescent="0.25">
      <c r="A110">
        <f t="shared" si="4"/>
        <v>540</v>
      </c>
      <c r="B110">
        <v>42.2</v>
      </c>
      <c r="C110">
        <f t="shared" si="8"/>
        <v>400</v>
      </c>
    </row>
    <row r="111" spans="1:3" x14ac:dyDescent="0.25">
      <c r="A111">
        <f t="shared" si="4"/>
        <v>545</v>
      </c>
      <c r="B111">
        <v>35.6</v>
      </c>
      <c r="C111">
        <f t="shared" si="8"/>
        <v>450</v>
      </c>
    </row>
    <row r="112" spans="1:3" x14ac:dyDescent="0.25">
      <c r="A112">
        <f t="shared" si="4"/>
        <v>550</v>
      </c>
      <c r="B112">
        <v>36.799999999999997</v>
      </c>
      <c r="C112" s="1">
        <f>E114</f>
        <v>0</v>
      </c>
    </row>
    <row r="113" spans="1:3" x14ac:dyDescent="0.25">
      <c r="A113">
        <f t="shared" si="4"/>
        <v>555</v>
      </c>
      <c r="B113">
        <v>43.3</v>
      </c>
      <c r="C113">
        <f>C112+50</f>
        <v>50</v>
      </c>
    </row>
    <row r="114" spans="1:3" x14ac:dyDescent="0.25">
      <c r="A114">
        <f t="shared" si="4"/>
        <v>560</v>
      </c>
      <c r="B114">
        <v>55</v>
      </c>
      <c r="C114">
        <f t="shared" ref="C114:C121" si="9">C113+50</f>
        <v>100</v>
      </c>
    </row>
    <row r="115" spans="1:3" x14ac:dyDescent="0.25">
      <c r="A115">
        <f t="shared" si="4"/>
        <v>565</v>
      </c>
      <c r="B115">
        <v>72.5</v>
      </c>
      <c r="C115">
        <f t="shared" si="9"/>
        <v>150</v>
      </c>
    </row>
    <row r="116" spans="1:3" x14ac:dyDescent="0.25">
      <c r="A116">
        <f t="shared" si="4"/>
        <v>570</v>
      </c>
      <c r="B116">
        <v>89.7</v>
      </c>
      <c r="C116">
        <f t="shared" si="9"/>
        <v>200</v>
      </c>
    </row>
    <row r="117" spans="1:3" x14ac:dyDescent="0.25">
      <c r="A117">
        <f t="shared" si="4"/>
        <v>575</v>
      </c>
      <c r="B117">
        <v>104.6</v>
      </c>
      <c r="C117">
        <f t="shared" si="9"/>
        <v>250</v>
      </c>
    </row>
    <row r="118" spans="1:3" x14ac:dyDescent="0.25">
      <c r="A118">
        <f t="shared" si="4"/>
        <v>580</v>
      </c>
      <c r="B118">
        <v>116.3</v>
      </c>
      <c r="C118">
        <f t="shared" si="9"/>
        <v>300</v>
      </c>
    </row>
    <row r="119" spans="1:3" x14ac:dyDescent="0.25">
      <c r="A119">
        <f t="shared" si="4"/>
        <v>585</v>
      </c>
      <c r="B119">
        <v>123.2</v>
      </c>
      <c r="C119">
        <f t="shared" si="9"/>
        <v>350</v>
      </c>
    </row>
    <row r="120" spans="1:3" x14ac:dyDescent="0.25">
      <c r="A120">
        <f t="shared" si="4"/>
        <v>590</v>
      </c>
      <c r="B120">
        <v>124.5</v>
      </c>
      <c r="C120">
        <f t="shared" si="9"/>
        <v>400</v>
      </c>
    </row>
    <row r="121" spans="1:3" x14ac:dyDescent="0.25">
      <c r="A121">
        <f t="shared" si="4"/>
        <v>595</v>
      </c>
      <c r="B121">
        <v>120.5</v>
      </c>
      <c r="C121">
        <f t="shared" si="9"/>
        <v>450</v>
      </c>
    </row>
    <row r="122" spans="1:3" x14ac:dyDescent="0.25">
      <c r="A122">
        <f t="shared" si="4"/>
        <v>600</v>
      </c>
      <c r="B122">
        <v>115.6</v>
      </c>
      <c r="C122" s="1">
        <f>E124</f>
        <v>0</v>
      </c>
    </row>
    <row r="123" spans="1:3" x14ac:dyDescent="0.25">
      <c r="A123">
        <f t="shared" si="4"/>
        <v>605</v>
      </c>
      <c r="B123">
        <v>102.6</v>
      </c>
      <c r="C123">
        <f>C122+50</f>
        <v>50</v>
      </c>
    </row>
    <row r="124" spans="1:3" x14ac:dyDescent="0.25">
      <c r="A124">
        <f t="shared" si="4"/>
        <v>610</v>
      </c>
      <c r="B124">
        <v>87.2</v>
      </c>
      <c r="C124">
        <f t="shared" ref="C124:C131" si="10">C123+50</f>
        <v>100</v>
      </c>
    </row>
    <row r="125" spans="1:3" x14ac:dyDescent="0.25">
      <c r="A125">
        <f t="shared" si="4"/>
        <v>615</v>
      </c>
      <c r="B125">
        <v>72.2</v>
      </c>
      <c r="C125">
        <f t="shared" si="10"/>
        <v>150</v>
      </c>
    </row>
    <row r="126" spans="1:3" x14ac:dyDescent="0.25">
      <c r="A126">
        <f t="shared" si="4"/>
        <v>620</v>
      </c>
      <c r="B126">
        <v>55.5</v>
      </c>
      <c r="C126">
        <f t="shared" si="10"/>
        <v>200</v>
      </c>
    </row>
    <row r="127" spans="1:3" x14ac:dyDescent="0.25">
      <c r="A127">
        <f t="shared" si="4"/>
        <v>625</v>
      </c>
      <c r="B127">
        <v>43.2</v>
      </c>
      <c r="C127">
        <f t="shared" si="10"/>
        <v>250</v>
      </c>
    </row>
    <row r="128" spans="1:3" x14ac:dyDescent="0.25">
      <c r="A128">
        <f t="shared" si="4"/>
        <v>630</v>
      </c>
      <c r="B128">
        <v>33.700000000000003</v>
      </c>
      <c r="C128">
        <f t="shared" si="10"/>
        <v>300</v>
      </c>
    </row>
    <row r="129" spans="1:3" x14ac:dyDescent="0.25">
      <c r="A129">
        <f t="shared" si="4"/>
        <v>635</v>
      </c>
      <c r="B129">
        <v>29</v>
      </c>
      <c r="C129">
        <f t="shared" si="10"/>
        <v>350</v>
      </c>
    </row>
    <row r="130" spans="1:3" x14ac:dyDescent="0.25">
      <c r="A130">
        <f t="shared" si="4"/>
        <v>640</v>
      </c>
      <c r="B130">
        <v>28</v>
      </c>
      <c r="C130">
        <f t="shared" si="10"/>
        <v>400</v>
      </c>
    </row>
    <row r="131" spans="1:3" x14ac:dyDescent="0.25">
      <c r="A131">
        <f t="shared" si="4"/>
        <v>645</v>
      </c>
      <c r="B131">
        <v>34</v>
      </c>
      <c r="C131">
        <f t="shared" si="10"/>
        <v>450</v>
      </c>
    </row>
    <row r="132" spans="1:3" x14ac:dyDescent="0.25">
      <c r="A132">
        <f t="shared" ref="A132:A193" si="11">A131+5</f>
        <v>650</v>
      </c>
      <c r="B132">
        <v>36.1</v>
      </c>
      <c r="C132" s="1">
        <f>E134</f>
        <v>0</v>
      </c>
    </row>
    <row r="133" spans="1:3" x14ac:dyDescent="0.25">
      <c r="A133">
        <f t="shared" si="11"/>
        <v>655</v>
      </c>
      <c r="B133">
        <v>43.7</v>
      </c>
      <c r="C133">
        <f>C132+50</f>
        <v>50</v>
      </c>
    </row>
    <row r="134" spans="1:3" x14ac:dyDescent="0.25">
      <c r="A134">
        <f t="shared" si="11"/>
        <v>660</v>
      </c>
      <c r="B134">
        <v>51.4</v>
      </c>
      <c r="C134">
        <f t="shared" ref="C134:C141" si="12">C133+50</f>
        <v>100</v>
      </c>
    </row>
    <row r="135" spans="1:3" x14ac:dyDescent="0.25">
      <c r="A135">
        <f t="shared" si="11"/>
        <v>665</v>
      </c>
      <c r="B135">
        <v>60.1</v>
      </c>
      <c r="C135">
        <f t="shared" si="12"/>
        <v>150</v>
      </c>
    </row>
    <row r="136" spans="1:3" x14ac:dyDescent="0.25">
      <c r="A136">
        <f t="shared" si="11"/>
        <v>670</v>
      </c>
      <c r="B136">
        <v>66.599999999999994</v>
      </c>
      <c r="C136">
        <f t="shared" si="12"/>
        <v>200</v>
      </c>
    </row>
    <row r="137" spans="1:3" x14ac:dyDescent="0.25">
      <c r="A137">
        <f t="shared" si="11"/>
        <v>675</v>
      </c>
      <c r="B137">
        <v>70.8</v>
      </c>
      <c r="C137">
        <f t="shared" si="12"/>
        <v>250</v>
      </c>
    </row>
    <row r="138" spans="1:3" x14ac:dyDescent="0.25">
      <c r="A138">
        <f t="shared" si="11"/>
        <v>680</v>
      </c>
      <c r="B138">
        <v>72.3</v>
      </c>
      <c r="C138">
        <f t="shared" si="12"/>
        <v>300</v>
      </c>
    </row>
    <row r="139" spans="1:3" x14ac:dyDescent="0.25">
      <c r="A139">
        <f t="shared" si="11"/>
        <v>685</v>
      </c>
      <c r="B139">
        <v>71.3</v>
      </c>
      <c r="C139">
        <f t="shared" si="12"/>
        <v>350</v>
      </c>
    </row>
    <row r="140" spans="1:3" x14ac:dyDescent="0.25">
      <c r="A140">
        <f t="shared" si="11"/>
        <v>690</v>
      </c>
      <c r="B140">
        <v>67.8</v>
      </c>
      <c r="C140">
        <f t="shared" si="12"/>
        <v>400</v>
      </c>
    </row>
    <row r="141" spans="1:3" x14ac:dyDescent="0.25">
      <c r="A141">
        <f t="shared" si="11"/>
        <v>695</v>
      </c>
      <c r="B141">
        <v>62.3</v>
      </c>
      <c r="C141">
        <f t="shared" si="12"/>
        <v>450</v>
      </c>
    </row>
    <row r="142" spans="1:3" x14ac:dyDescent="0.25">
      <c r="A142">
        <f t="shared" si="11"/>
        <v>700</v>
      </c>
      <c r="B142">
        <v>55.1</v>
      </c>
    </row>
    <row r="143" spans="1:3" x14ac:dyDescent="0.25">
      <c r="A143">
        <f t="shared" si="11"/>
        <v>705</v>
      </c>
      <c r="B143">
        <v>47.5</v>
      </c>
    </row>
    <row r="144" spans="1:3" x14ac:dyDescent="0.25">
      <c r="A144">
        <f t="shared" si="11"/>
        <v>710</v>
      </c>
      <c r="B144">
        <v>40</v>
      </c>
    </row>
    <row r="145" spans="1:2" x14ac:dyDescent="0.25">
      <c r="A145">
        <f t="shared" si="11"/>
        <v>715</v>
      </c>
      <c r="B145">
        <v>32.9</v>
      </c>
    </row>
    <row r="146" spans="1:2" x14ac:dyDescent="0.25">
      <c r="A146">
        <f t="shared" si="11"/>
        <v>720</v>
      </c>
      <c r="B146">
        <v>27.1</v>
      </c>
    </row>
    <row r="147" spans="1:2" x14ac:dyDescent="0.25">
      <c r="A147">
        <f t="shared" si="11"/>
        <v>725</v>
      </c>
      <c r="B147">
        <v>23.3</v>
      </c>
    </row>
    <row r="148" spans="1:2" x14ac:dyDescent="0.25">
      <c r="A148">
        <f t="shared" si="11"/>
        <v>730</v>
      </c>
      <c r="B148">
        <v>21</v>
      </c>
    </row>
    <row r="149" spans="1:2" x14ac:dyDescent="0.25">
      <c r="A149">
        <f t="shared" si="11"/>
        <v>735</v>
      </c>
      <c r="B149">
        <v>20.8</v>
      </c>
    </row>
    <row r="150" spans="1:2" x14ac:dyDescent="0.25">
      <c r="A150">
        <f t="shared" si="11"/>
        <v>740</v>
      </c>
      <c r="B150">
        <v>21.9</v>
      </c>
    </row>
    <row r="151" spans="1:2" x14ac:dyDescent="0.25">
      <c r="A151">
        <f t="shared" si="11"/>
        <v>745</v>
      </c>
      <c r="B151">
        <v>24.2</v>
      </c>
    </row>
    <row r="152" spans="1:2" x14ac:dyDescent="0.25">
      <c r="A152">
        <f t="shared" si="11"/>
        <v>750</v>
      </c>
      <c r="B152">
        <v>27.4</v>
      </c>
    </row>
    <row r="153" spans="1:2" x14ac:dyDescent="0.25">
      <c r="A153">
        <f t="shared" si="11"/>
        <v>755</v>
      </c>
      <c r="B153">
        <v>31</v>
      </c>
    </row>
    <row r="154" spans="1:2" x14ac:dyDescent="0.25">
      <c r="A154">
        <f t="shared" si="11"/>
        <v>760</v>
      </c>
      <c r="B154">
        <v>34.5</v>
      </c>
    </row>
    <row r="155" spans="1:2" x14ac:dyDescent="0.25">
      <c r="A155">
        <f t="shared" si="11"/>
        <v>765</v>
      </c>
      <c r="B155">
        <v>37.5</v>
      </c>
    </row>
    <row r="156" spans="1:2" x14ac:dyDescent="0.25">
      <c r="A156">
        <f t="shared" si="11"/>
        <v>770</v>
      </c>
      <c r="B156">
        <v>39.299999999999997</v>
      </c>
    </row>
    <row r="157" spans="1:2" x14ac:dyDescent="0.25">
      <c r="A157">
        <f t="shared" si="11"/>
        <v>775</v>
      </c>
      <c r="B157">
        <v>39.700000000000003</v>
      </c>
    </row>
    <row r="158" spans="1:2" x14ac:dyDescent="0.25">
      <c r="A158">
        <f t="shared" si="11"/>
        <v>780</v>
      </c>
      <c r="B158">
        <v>50.9</v>
      </c>
    </row>
    <row r="159" spans="1:2" x14ac:dyDescent="0.25">
      <c r="A159">
        <f t="shared" si="11"/>
        <v>785</v>
      </c>
      <c r="B159">
        <v>48.9</v>
      </c>
    </row>
    <row r="160" spans="1:2" x14ac:dyDescent="0.25">
      <c r="A160">
        <f t="shared" si="11"/>
        <v>790</v>
      </c>
      <c r="B160">
        <v>41</v>
      </c>
    </row>
    <row r="161" spans="1:2" x14ac:dyDescent="0.25">
      <c r="A161">
        <f t="shared" si="11"/>
        <v>795</v>
      </c>
      <c r="B161">
        <v>34</v>
      </c>
    </row>
    <row r="162" spans="1:2" x14ac:dyDescent="0.25">
      <c r="A162">
        <f t="shared" si="11"/>
        <v>800</v>
      </c>
      <c r="B162">
        <v>27.5</v>
      </c>
    </row>
    <row r="163" spans="1:2" x14ac:dyDescent="0.25">
      <c r="A163">
        <f t="shared" si="11"/>
        <v>805</v>
      </c>
      <c r="B163">
        <v>23.8</v>
      </c>
    </row>
    <row r="164" spans="1:2" x14ac:dyDescent="0.25">
      <c r="A164">
        <f t="shared" si="11"/>
        <v>810</v>
      </c>
      <c r="B164">
        <v>21.5</v>
      </c>
    </row>
    <row r="165" spans="1:2" x14ac:dyDescent="0.25">
      <c r="A165">
        <f t="shared" si="11"/>
        <v>815</v>
      </c>
      <c r="B165">
        <v>21</v>
      </c>
    </row>
    <row r="166" spans="1:2" x14ac:dyDescent="0.25">
      <c r="A166">
        <f t="shared" si="11"/>
        <v>820</v>
      </c>
      <c r="B166">
        <v>22</v>
      </c>
    </row>
    <row r="167" spans="1:2" x14ac:dyDescent="0.25">
      <c r="A167">
        <f t="shared" si="11"/>
        <v>825</v>
      </c>
      <c r="B167">
        <v>24.5</v>
      </c>
    </row>
    <row r="168" spans="1:2" x14ac:dyDescent="0.25">
      <c r="A168">
        <f t="shared" si="11"/>
        <v>830</v>
      </c>
      <c r="B168">
        <v>27.8</v>
      </c>
    </row>
    <row r="169" spans="1:2" x14ac:dyDescent="0.25">
      <c r="A169">
        <f t="shared" si="11"/>
        <v>835</v>
      </c>
      <c r="B169">
        <v>31.4</v>
      </c>
    </row>
    <row r="170" spans="1:2" x14ac:dyDescent="0.25">
      <c r="A170">
        <f t="shared" si="11"/>
        <v>840</v>
      </c>
      <c r="B170">
        <v>34.799999999999997</v>
      </c>
    </row>
    <row r="171" spans="1:2" x14ac:dyDescent="0.25">
      <c r="A171">
        <f t="shared" si="11"/>
        <v>845</v>
      </c>
      <c r="B171">
        <v>37.799999999999997</v>
      </c>
    </row>
    <row r="172" spans="1:2" x14ac:dyDescent="0.25">
      <c r="A172">
        <f t="shared" si="11"/>
        <v>850</v>
      </c>
      <c r="B172">
        <v>39.700000000000003</v>
      </c>
    </row>
    <row r="173" spans="1:2" x14ac:dyDescent="0.25">
      <c r="A173">
        <f t="shared" si="11"/>
        <v>855</v>
      </c>
      <c r="B173">
        <v>40.1</v>
      </c>
    </row>
    <row r="174" spans="1:2" x14ac:dyDescent="0.25">
      <c r="A174">
        <f t="shared" si="11"/>
        <v>860</v>
      </c>
      <c r="B174">
        <v>39.299999999999997</v>
      </c>
    </row>
    <row r="175" spans="1:2" x14ac:dyDescent="0.25">
      <c r="A175">
        <f t="shared" si="11"/>
        <v>865</v>
      </c>
      <c r="B175">
        <v>37.200000000000003</v>
      </c>
    </row>
    <row r="176" spans="1:2" x14ac:dyDescent="0.25">
      <c r="A176">
        <f t="shared" si="11"/>
        <v>870</v>
      </c>
      <c r="B176">
        <v>34.299999999999997</v>
      </c>
    </row>
    <row r="177" spans="1:2" x14ac:dyDescent="0.25">
      <c r="A177">
        <f t="shared" si="11"/>
        <v>875</v>
      </c>
      <c r="B177">
        <v>31</v>
      </c>
    </row>
    <row r="178" spans="1:2" x14ac:dyDescent="0.25">
      <c r="A178">
        <f t="shared" si="11"/>
        <v>880</v>
      </c>
      <c r="B178">
        <v>27</v>
      </c>
    </row>
    <row r="179" spans="1:2" x14ac:dyDescent="0.25">
      <c r="A179">
        <f t="shared" si="11"/>
        <v>885</v>
      </c>
      <c r="B179">
        <v>23.4</v>
      </c>
    </row>
    <row r="180" spans="1:2" x14ac:dyDescent="0.25">
      <c r="A180">
        <f t="shared" si="11"/>
        <v>890</v>
      </c>
      <c r="B180">
        <v>20</v>
      </c>
    </row>
    <row r="181" spans="1:2" x14ac:dyDescent="0.25">
      <c r="A181">
        <f t="shared" si="11"/>
        <v>895</v>
      </c>
      <c r="B181">
        <v>17.600000000000001</v>
      </c>
    </row>
    <row r="182" spans="1:2" x14ac:dyDescent="0.25">
      <c r="A182">
        <f t="shared" si="11"/>
        <v>900</v>
      </c>
      <c r="B182">
        <v>16</v>
      </c>
    </row>
    <row r="183" spans="1:2" x14ac:dyDescent="0.25">
      <c r="A183">
        <f t="shared" si="11"/>
        <v>905</v>
      </c>
      <c r="B183">
        <v>15.5</v>
      </c>
    </row>
    <row r="184" spans="1:2" x14ac:dyDescent="0.25">
      <c r="A184">
        <f t="shared" si="11"/>
        <v>910</v>
      </c>
      <c r="B184">
        <v>15.8</v>
      </c>
    </row>
    <row r="185" spans="1:2" x14ac:dyDescent="0.25">
      <c r="A185">
        <f t="shared" si="11"/>
        <v>915</v>
      </c>
      <c r="B185">
        <v>16.7</v>
      </c>
    </row>
    <row r="186" spans="1:2" x14ac:dyDescent="0.25">
      <c r="A186">
        <f t="shared" si="11"/>
        <v>920</v>
      </c>
      <c r="B186">
        <v>18</v>
      </c>
    </row>
    <row r="187" spans="1:2" x14ac:dyDescent="0.25">
      <c r="A187">
        <f t="shared" si="11"/>
        <v>925</v>
      </c>
      <c r="B187">
        <v>19</v>
      </c>
    </row>
    <row r="188" spans="1:2" x14ac:dyDescent="0.25">
      <c r="A188">
        <f t="shared" si="11"/>
        <v>930</v>
      </c>
      <c r="B188">
        <v>19.7</v>
      </c>
    </row>
    <row r="189" spans="1:2" x14ac:dyDescent="0.25">
      <c r="A189">
        <f t="shared" si="11"/>
        <v>935</v>
      </c>
      <c r="B189">
        <v>19.8</v>
      </c>
    </row>
    <row r="190" spans="1:2" x14ac:dyDescent="0.25">
      <c r="A190">
        <f t="shared" si="11"/>
        <v>940</v>
      </c>
      <c r="B190">
        <v>19</v>
      </c>
    </row>
    <row r="191" spans="1:2" x14ac:dyDescent="0.25">
      <c r="A191">
        <f t="shared" si="11"/>
        <v>945</v>
      </c>
      <c r="B191">
        <v>16.5</v>
      </c>
    </row>
    <row r="192" spans="1:2" x14ac:dyDescent="0.25">
      <c r="A192">
        <f t="shared" si="11"/>
        <v>950</v>
      </c>
      <c r="B192">
        <v>15.2</v>
      </c>
    </row>
    <row r="193" spans="1:2" x14ac:dyDescent="0.25">
      <c r="A193">
        <f t="shared" si="11"/>
        <v>955</v>
      </c>
      <c r="B193">
        <v>14.9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AFB9-1607-4697-B3E3-8FC1BB0FDCCC}">
  <dimension ref="A1:N100"/>
  <sheetViews>
    <sheetView workbookViewId="0">
      <selection activeCell="O7" sqref="O7"/>
    </sheetView>
  </sheetViews>
  <sheetFormatPr baseColWidth="10" defaultRowHeight="15" x14ac:dyDescent="0.25"/>
  <cols>
    <col min="3" max="3" width="11.7109375" bestFit="1" customWidth="1"/>
  </cols>
  <sheetData>
    <row r="1" spans="1:14" x14ac:dyDescent="0.25">
      <c r="A1" t="s">
        <v>1</v>
      </c>
      <c r="B1" t="s">
        <v>0</v>
      </c>
    </row>
    <row r="2" spans="1:14" x14ac:dyDescent="0.25">
      <c r="A2">
        <v>0</v>
      </c>
      <c r="B2">
        <v>73</v>
      </c>
      <c r="C2">
        <f>MOD(A2,50)</f>
        <v>0</v>
      </c>
    </row>
    <row r="3" spans="1:14" x14ac:dyDescent="0.25">
      <c r="A3">
        <v>20</v>
      </c>
      <c r="B3">
        <v>75.400000000000006</v>
      </c>
      <c r="C3">
        <f t="shared" ref="C3:C66" si="0">MOD(A3,50)</f>
        <v>20</v>
      </c>
      <c r="N3">
        <f>MAX(C1:C192)</f>
        <v>40</v>
      </c>
    </row>
    <row r="4" spans="1:14" x14ac:dyDescent="0.25">
      <c r="A4">
        <v>40</v>
      </c>
      <c r="B4">
        <v>77.8</v>
      </c>
      <c r="C4">
        <f t="shared" si="0"/>
        <v>40</v>
      </c>
    </row>
    <row r="5" spans="1:14" x14ac:dyDescent="0.25">
      <c r="A5">
        <f>A4+20</f>
        <v>60</v>
      </c>
      <c r="B5">
        <v>80.3</v>
      </c>
      <c r="C5">
        <f t="shared" si="0"/>
        <v>10</v>
      </c>
    </row>
    <row r="6" spans="1:14" x14ac:dyDescent="0.25">
      <c r="A6">
        <f t="shared" ref="A6:A69" si="1">A5+20</f>
        <v>80</v>
      </c>
      <c r="B6">
        <v>83</v>
      </c>
      <c r="C6">
        <f t="shared" si="0"/>
        <v>30</v>
      </c>
    </row>
    <row r="7" spans="1:14" x14ac:dyDescent="0.25">
      <c r="A7">
        <f t="shared" si="1"/>
        <v>100</v>
      </c>
      <c r="B7">
        <v>86.1</v>
      </c>
      <c r="C7">
        <f t="shared" si="0"/>
        <v>0</v>
      </c>
    </row>
    <row r="8" spans="1:14" x14ac:dyDescent="0.25">
      <c r="A8">
        <f t="shared" si="1"/>
        <v>120</v>
      </c>
      <c r="B8">
        <v>90</v>
      </c>
      <c r="C8">
        <f t="shared" si="0"/>
        <v>20</v>
      </c>
    </row>
    <row r="9" spans="1:14" x14ac:dyDescent="0.25">
      <c r="A9">
        <f t="shared" si="1"/>
        <v>140</v>
      </c>
      <c r="B9">
        <v>92.6</v>
      </c>
      <c r="C9">
        <f t="shared" si="0"/>
        <v>40</v>
      </c>
    </row>
    <row r="10" spans="1:14" x14ac:dyDescent="0.25">
      <c r="A10">
        <f t="shared" si="1"/>
        <v>160</v>
      </c>
      <c r="B10">
        <v>96</v>
      </c>
      <c r="C10">
        <f t="shared" si="0"/>
        <v>10</v>
      </c>
    </row>
    <row r="11" spans="1:14" x14ac:dyDescent="0.25">
      <c r="A11">
        <f t="shared" si="1"/>
        <v>180</v>
      </c>
      <c r="B11">
        <v>98.4</v>
      </c>
      <c r="C11">
        <f t="shared" si="0"/>
        <v>30</v>
      </c>
    </row>
    <row r="12" spans="1:14" x14ac:dyDescent="0.25">
      <c r="A12">
        <f t="shared" si="1"/>
        <v>200</v>
      </c>
      <c r="B12">
        <v>101.2</v>
      </c>
      <c r="C12">
        <f t="shared" si="0"/>
        <v>0</v>
      </c>
    </row>
    <row r="13" spans="1:14" x14ac:dyDescent="0.25">
      <c r="A13">
        <f t="shared" si="1"/>
        <v>220</v>
      </c>
      <c r="B13">
        <v>103.5</v>
      </c>
      <c r="C13">
        <f t="shared" si="0"/>
        <v>20</v>
      </c>
    </row>
    <row r="14" spans="1:14" x14ac:dyDescent="0.25">
      <c r="A14">
        <f t="shared" si="1"/>
        <v>240</v>
      </c>
      <c r="B14">
        <v>105.7</v>
      </c>
      <c r="C14">
        <f t="shared" si="0"/>
        <v>40</v>
      </c>
    </row>
    <row r="15" spans="1:14" x14ac:dyDescent="0.25">
      <c r="A15">
        <f t="shared" si="1"/>
        <v>260</v>
      </c>
      <c r="B15">
        <v>107.7</v>
      </c>
      <c r="C15">
        <f t="shared" si="0"/>
        <v>10</v>
      </c>
    </row>
    <row r="16" spans="1:14" x14ac:dyDescent="0.25">
      <c r="A16">
        <f t="shared" si="1"/>
        <v>280</v>
      </c>
      <c r="B16">
        <v>109.6</v>
      </c>
      <c r="C16">
        <f t="shared" si="0"/>
        <v>30</v>
      </c>
    </row>
    <row r="17" spans="1:3" x14ac:dyDescent="0.25">
      <c r="A17">
        <f t="shared" si="1"/>
        <v>300</v>
      </c>
      <c r="B17">
        <v>110.2</v>
      </c>
      <c r="C17">
        <f t="shared" si="0"/>
        <v>0</v>
      </c>
    </row>
    <row r="18" spans="1:3" x14ac:dyDescent="0.25">
      <c r="A18">
        <f t="shared" si="1"/>
        <v>320</v>
      </c>
      <c r="B18">
        <v>112.4</v>
      </c>
      <c r="C18">
        <f t="shared" si="0"/>
        <v>20</v>
      </c>
    </row>
    <row r="19" spans="1:3" x14ac:dyDescent="0.25">
      <c r="A19">
        <f t="shared" si="1"/>
        <v>340</v>
      </c>
      <c r="B19">
        <v>113.1</v>
      </c>
      <c r="C19">
        <f t="shared" si="0"/>
        <v>40</v>
      </c>
    </row>
    <row r="20" spans="1:3" x14ac:dyDescent="0.25">
      <c r="A20">
        <f t="shared" si="1"/>
        <v>360</v>
      </c>
      <c r="B20">
        <v>113.7</v>
      </c>
      <c r="C20">
        <f t="shared" si="0"/>
        <v>10</v>
      </c>
    </row>
    <row r="21" spans="1:3" x14ac:dyDescent="0.25">
      <c r="A21">
        <f t="shared" si="1"/>
        <v>380</v>
      </c>
      <c r="B21">
        <v>113.5</v>
      </c>
      <c r="C21">
        <f t="shared" si="0"/>
        <v>30</v>
      </c>
    </row>
    <row r="22" spans="1:3" x14ac:dyDescent="0.25">
      <c r="A22">
        <f t="shared" si="1"/>
        <v>400</v>
      </c>
      <c r="B22">
        <v>113.2</v>
      </c>
      <c r="C22">
        <f t="shared" si="0"/>
        <v>0</v>
      </c>
    </row>
    <row r="23" spans="1:3" x14ac:dyDescent="0.25">
      <c r="A23">
        <f t="shared" si="1"/>
        <v>420</v>
      </c>
      <c r="B23">
        <v>113.5</v>
      </c>
      <c r="C23">
        <f t="shared" si="0"/>
        <v>20</v>
      </c>
    </row>
    <row r="24" spans="1:3" x14ac:dyDescent="0.25">
      <c r="A24">
        <f t="shared" si="1"/>
        <v>440</v>
      </c>
      <c r="B24">
        <v>112.8</v>
      </c>
      <c r="C24">
        <f t="shared" si="0"/>
        <v>40</v>
      </c>
    </row>
    <row r="25" spans="1:3" x14ac:dyDescent="0.25">
      <c r="A25">
        <f t="shared" si="1"/>
        <v>460</v>
      </c>
      <c r="B25">
        <v>112.9</v>
      </c>
      <c r="C25">
        <f t="shared" si="0"/>
        <v>10</v>
      </c>
    </row>
    <row r="26" spans="1:3" x14ac:dyDescent="0.25">
      <c r="A26">
        <f t="shared" si="1"/>
        <v>480</v>
      </c>
      <c r="B26">
        <v>112.4</v>
      </c>
      <c r="C26">
        <f t="shared" si="0"/>
        <v>30</v>
      </c>
    </row>
    <row r="27" spans="1:3" x14ac:dyDescent="0.25">
      <c r="A27">
        <f t="shared" si="1"/>
        <v>500</v>
      </c>
      <c r="B27">
        <v>111.4</v>
      </c>
      <c r="C27">
        <f t="shared" si="0"/>
        <v>0</v>
      </c>
    </row>
    <row r="28" spans="1:3" x14ac:dyDescent="0.25">
      <c r="A28">
        <f t="shared" si="1"/>
        <v>520</v>
      </c>
      <c r="B28">
        <v>111.2</v>
      </c>
      <c r="C28">
        <f t="shared" si="0"/>
        <v>20</v>
      </c>
    </row>
    <row r="29" spans="1:3" x14ac:dyDescent="0.25">
      <c r="A29">
        <f t="shared" si="1"/>
        <v>540</v>
      </c>
      <c r="B29">
        <v>111</v>
      </c>
      <c r="C29">
        <f t="shared" si="0"/>
        <v>40</v>
      </c>
    </row>
    <row r="30" spans="1:3" x14ac:dyDescent="0.25">
      <c r="A30">
        <f t="shared" si="1"/>
        <v>560</v>
      </c>
      <c r="B30">
        <v>110.6</v>
      </c>
      <c r="C30">
        <f t="shared" si="0"/>
        <v>10</v>
      </c>
    </row>
    <row r="31" spans="1:3" x14ac:dyDescent="0.25">
      <c r="A31">
        <f t="shared" si="1"/>
        <v>580</v>
      </c>
      <c r="B31">
        <v>110.3</v>
      </c>
      <c r="C31">
        <f t="shared" si="0"/>
        <v>30</v>
      </c>
    </row>
    <row r="32" spans="1:3" x14ac:dyDescent="0.25">
      <c r="A32">
        <f t="shared" si="1"/>
        <v>600</v>
      </c>
      <c r="B32">
        <v>110</v>
      </c>
      <c r="C32">
        <f t="shared" si="0"/>
        <v>0</v>
      </c>
    </row>
    <row r="33" spans="1:3" x14ac:dyDescent="0.25">
      <c r="A33">
        <f t="shared" si="1"/>
        <v>620</v>
      </c>
      <c r="B33">
        <v>110.5</v>
      </c>
      <c r="C33">
        <f t="shared" si="0"/>
        <v>20</v>
      </c>
    </row>
    <row r="34" spans="1:3" x14ac:dyDescent="0.25">
      <c r="A34">
        <f t="shared" si="1"/>
        <v>640</v>
      </c>
      <c r="B34">
        <v>110.2</v>
      </c>
      <c r="C34">
        <f t="shared" si="0"/>
        <v>40</v>
      </c>
    </row>
    <row r="35" spans="1:3" x14ac:dyDescent="0.25">
      <c r="A35">
        <f t="shared" si="1"/>
        <v>660</v>
      </c>
      <c r="B35">
        <v>110</v>
      </c>
      <c r="C35">
        <f t="shared" si="0"/>
        <v>10</v>
      </c>
    </row>
    <row r="36" spans="1:3" x14ac:dyDescent="0.25">
      <c r="A36">
        <f t="shared" si="1"/>
        <v>680</v>
      </c>
      <c r="B36">
        <v>109.8</v>
      </c>
      <c r="C36">
        <f t="shared" si="0"/>
        <v>30</v>
      </c>
    </row>
    <row r="37" spans="1:3" x14ac:dyDescent="0.25">
      <c r="A37">
        <f t="shared" si="1"/>
        <v>700</v>
      </c>
      <c r="B37">
        <v>109.4</v>
      </c>
      <c r="C37">
        <f t="shared" si="0"/>
        <v>0</v>
      </c>
    </row>
    <row r="38" spans="1:3" x14ac:dyDescent="0.25">
      <c r="A38">
        <f t="shared" si="1"/>
        <v>720</v>
      </c>
      <c r="B38">
        <v>109.5</v>
      </c>
      <c r="C38">
        <f t="shared" si="0"/>
        <v>20</v>
      </c>
    </row>
    <row r="39" spans="1:3" x14ac:dyDescent="0.25">
      <c r="A39">
        <f t="shared" si="1"/>
        <v>740</v>
      </c>
      <c r="B39">
        <v>109.3</v>
      </c>
      <c r="C39">
        <f t="shared" si="0"/>
        <v>40</v>
      </c>
    </row>
    <row r="40" spans="1:3" x14ac:dyDescent="0.25">
      <c r="A40">
        <f t="shared" si="1"/>
        <v>760</v>
      </c>
      <c r="B40">
        <v>109</v>
      </c>
      <c r="C40">
        <f t="shared" si="0"/>
        <v>10</v>
      </c>
    </row>
    <row r="41" spans="1:3" x14ac:dyDescent="0.25">
      <c r="A41">
        <f t="shared" si="1"/>
        <v>780</v>
      </c>
      <c r="B41">
        <v>108.2</v>
      </c>
      <c r="C41">
        <f t="shared" si="0"/>
        <v>30</v>
      </c>
    </row>
    <row r="42" spans="1:3" x14ac:dyDescent="0.25">
      <c r="A42">
        <f t="shared" si="1"/>
        <v>800</v>
      </c>
      <c r="B42">
        <v>108.2</v>
      </c>
      <c r="C42">
        <f t="shared" si="0"/>
        <v>0</v>
      </c>
    </row>
    <row r="43" spans="1:3" x14ac:dyDescent="0.25">
      <c r="A43">
        <f t="shared" si="1"/>
        <v>820</v>
      </c>
      <c r="B43">
        <v>107.2</v>
      </c>
      <c r="C43">
        <f t="shared" si="0"/>
        <v>20</v>
      </c>
    </row>
    <row r="44" spans="1:3" x14ac:dyDescent="0.25">
      <c r="A44">
        <f t="shared" si="1"/>
        <v>840</v>
      </c>
      <c r="B44">
        <v>106</v>
      </c>
      <c r="C44">
        <f t="shared" si="0"/>
        <v>40</v>
      </c>
    </row>
    <row r="45" spans="1:3" x14ac:dyDescent="0.25">
      <c r="A45">
        <f t="shared" si="1"/>
        <v>860</v>
      </c>
      <c r="B45">
        <v>105.4</v>
      </c>
      <c r="C45">
        <f t="shared" si="0"/>
        <v>10</v>
      </c>
    </row>
    <row r="46" spans="1:3" x14ac:dyDescent="0.25">
      <c r="A46">
        <f t="shared" si="1"/>
        <v>880</v>
      </c>
      <c r="B46">
        <v>104</v>
      </c>
      <c r="C46">
        <f t="shared" si="0"/>
        <v>30</v>
      </c>
    </row>
    <row r="47" spans="1:3" x14ac:dyDescent="0.25">
      <c r="A47">
        <f t="shared" si="1"/>
        <v>900</v>
      </c>
      <c r="B47">
        <v>102.7</v>
      </c>
      <c r="C47">
        <f t="shared" si="0"/>
        <v>0</v>
      </c>
    </row>
    <row r="48" spans="1:3" x14ac:dyDescent="0.25">
      <c r="A48">
        <f t="shared" si="1"/>
        <v>920</v>
      </c>
      <c r="B48">
        <v>101.2</v>
      </c>
      <c r="C48">
        <f t="shared" si="0"/>
        <v>20</v>
      </c>
    </row>
    <row r="49" spans="1:4" x14ac:dyDescent="0.25">
      <c r="A49">
        <f t="shared" si="1"/>
        <v>940</v>
      </c>
      <c r="B49">
        <v>99.5</v>
      </c>
      <c r="C49">
        <f t="shared" si="0"/>
        <v>40</v>
      </c>
    </row>
    <row r="50" spans="1:4" x14ac:dyDescent="0.25">
      <c r="A50">
        <f t="shared" si="1"/>
        <v>960</v>
      </c>
      <c r="B50">
        <v>98</v>
      </c>
      <c r="C50">
        <f t="shared" si="0"/>
        <v>10</v>
      </c>
    </row>
    <row r="51" spans="1:4" x14ac:dyDescent="0.25">
      <c r="A51">
        <f t="shared" si="1"/>
        <v>980</v>
      </c>
      <c r="B51">
        <v>95.7</v>
      </c>
      <c r="C51">
        <f t="shared" si="0"/>
        <v>30</v>
      </c>
    </row>
    <row r="52" spans="1:4" x14ac:dyDescent="0.25">
      <c r="A52">
        <f t="shared" si="1"/>
        <v>1000</v>
      </c>
      <c r="B52">
        <v>93.7</v>
      </c>
      <c r="C52">
        <f t="shared" si="0"/>
        <v>0</v>
      </c>
    </row>
    <row r="53" spans="1:4" x14ac:dyDescent="0.25">
      <c r="A53">
        <f t="shared" si="1"/>
        <v>1020</v>
      </c>
      <c r="B53">
        <v>91.5</v>
      </c>
      <c r="C53">
        <f t="shared" si="0"/>
        <v>20</v>
      </c>
    </row>
    <row r="54" spans="1:4" x14ac:dyDescent="0.25">
      <c r="A54">
        <f t="shared" si="1"/>
        <v>1040</v>
      </c>
      <c r="B54">
        <v>89.5</v>
      </c>
      <c r="C54">
        <f t="shared" si="0"/>
        <v>40</v>
      </c>
    </row>
    <row r="55" spans="1:4" x14ac:dyDescent="0.25">
      <c r="A55">
        <f t="shared" si="1"/>
        <v>1060</v>
      </c>
      <c r="B55">
        <v>87.2</v>
      </c>
      <c r="C55">
        <f t="shared" si="0"/>
        <v>10</v>
      </c>
    </row>
    <row r="56" spans="1:4" x14ac:dyDescent="0.25">
      <c r="A56">
        <f t="shared" si="1"/>
        <v>1080</v>
      </c>
      <c r="B56">
        <v>85</v>
      </c>
      <c r="C56">
        <f t="shared" si="0"/>
        <v>30</v>
      </c>
    </row>
    <row r="57" spans="1:4" x14ac:dyDescent="0.25">
      <c r="A57">
        <f t="shared" si="1"/>
        <v>1100</v>
      </c>
      <c r="B57">
        <v>82.7</v>
      </c>
      <c r="C57">
        <f t="shared" si="0"/>
        <v>0</v>
      </c>
      <c r="D57" t="s">
        <v>2</v>
      </c>
    </row>
    <row r="58" spans="1:4" x14ac:dyDescent="0.25">
      <c r="A58">
        <f t="shared" si="1"/>
        <v>1120</v>
      </c>
      <c r="B58">
        <v>80.400000000000006</v>
      </c>
      <c r="C58">
        <f t="shared" si="0"/>
        <v>20</v>
      </c>
    </row>
    <row r="59" spans="1:4" x14ac:dyDescent="0.25">
      <c r="A59">
        <f t="shared" si="1"/>
        <v>1140</v>
      </c>
      <c r="B59">
        <v>78</v>
      </c>
      <c r="C59">
        <f t="shared" si="0"/>
        <v>40</v>
      </c>
    </row>
    <row r="60" spans="1:4" x14ac:dyDescent="0.25">
      <c r="A60">
        <f t="shared" si="1"/>
        <v>1160</v>
      </c>
      <c r="B60">
        <v>75.8</v>
      </c>
      <c r="C60">
        <f t="shared" si="0"/>
        <v>10</v>
      </c>
    </row>
    <row r="61" spans="1:4" x14ac:dyDescent="0.25">
      <c r="A61">
        <f t="shared" si="1"/>
        <v>1180</v>
      </c>
      <c r="B61">
        <v>73.900000000000006</v>
      </c>
      <c r="C61">
        <f t="shared" si="0"/>
        <v>30</v>
      </c>
    </row>
    <row r="62" spans="1:4" x14ac:dyDescent="0.25">
      <c r="A62">
        <f t="shared" si="1"/>
        <v>1200</v>
      </c>
      <c r="B62">
        <v>72</v>
      </c>
      <c r="C62">
        <f t="shared" si="0"/>
        <v>0</v>
      </c>
    </row>
    <row r="63" spans="1:4" x14ac:dyDescent="0.25">
      <c r="A63">
        <f t="shared" si="1"/>
        <v>1220</v>
      </c>
      <c r="B63">
        <v>70.2</v>
      </c>
      <c r="C63">
        <f t="shared" si="0"/>
        <v>20</v>
      </c>
    </row>
    <row r="64" spans="1:4" x14ac:dyDescent="0.25">
      <c r="A64">
        <f t="shared" si="1"/>
        <v>1240</v>
      </c>
      <c r="B64">
        <v>68.7</v>
      </c>
      <c r="C64">
        <f t="shared" si="0"/>
        <v>40</v>
      </c>
    </row>
    <row r="65" spans="1:3" x14ac:dyDescent="0.25">
      <c r="A65">
        <f t="shared" si="1"/>
        <v>1260</v>
      </c>
      <c r="B65">
        <v>67.3</v>
      </c>
      <c r="C65">
        <f t="shared" si="0"/>
        <v>10</v>
      </c>
    </row>
    <row r="66" spans="1:3" x14ac:dyDescent="0.25">
      <c r="A66">
        <f t="shared" si="1"/>
        <v>1280</v>
      </c>
      <c r="B66">
        <v>66.900000000000006</v>
      </c>
      <c r="C66">
        <f t="shared" si="0"/>
        <v>30</v>
      </c>
    </row>
    <row r="67" spans="1:3" x14ac:dyDescent="0.25">
      <c r="A67">
        <f t="shared" si="1"/>
        <v>1300</v>
      </c>
      <c r="B67">
        <v>67</v>
      </c>
      <c r="C67">
        <f t="shared" ref="C67:C100" si="2">MOD(A67,50)</f>
        <v>0</v>
      </c>
    </row>
    <row r="68" spans="1:3" x14ac:dyDescent="0.25">
      <c r="A68">
        <f t="shared" si="1"/>
        <v>1320</v>
      </c>
      <c r="B68">
        <v>66.599999999999994</v>
      </c>
      <c r="C68">
        <f t="shared" si="2"/>
        <v>20</v>
      </c>
    </row>
    <row r="69" spans="1:3" x14ac:dyDescent="0.25">
      <c r="A69">
        <f t="shared" si="1"/>
        <v>1340</v>
      </c>
      <c r="B69">
        <v>66.5</v>
      </c>
      <c r="C69">
        <f t="shared" si="2"/>
        <v>40</v>
      </c>
    </row>
    <row r="70" spans="1:3" x14ac:dyDescent="0.25">
      <c r="A70">
        <f t="shared" ref="A70:A79" si="3">A69+20</f>
        <v>1360</v>
      </c>
      <c r="B70">
        <v>66.099999999999994</v>
      </c>
      <c r="C70">
        <f t="shared" si="2"/>
        <v>10</v>
      </c>
    </row>
    <row r="71" spans="1:3" x14ac:dyDescent="0.25">
      <c r="A71">
        <f t="shared" si="3"/>
        <v>1380</v>
      </c>
      <c r="B71">
        <v>66</v>
      </c>
      <c r="C71">
        <f t="shared" si="2"/>
        <v>30</v>
      </c>
    </row>
    <row r="72" spans="1:3" x14ac:dyDescent="0.25">
      <c r="A72">
        <f t="shared" si="3"/>
        <v>1400</v>
      </c>
      <c r="B72">
        <v>65.900000000000006</v>
      </c>
      <c r="C72">
        <f t="shared" si="2"/>
        <v>0</v>
      </c>
    </row>
    <row r="73" spans="1:3" x14ac:dyDescent="0.25">
      <c r="A73">
        <f t="shared" si="3"/>
        <v>1420</v>
      </c>
      <c r="B73">
        <v>65.900000000000006</v>
      </c>
      <c r="C73">
        <f t="shared" si="2"/>
        <v>20</v>
      </c>
    </row>
    <row r="74" spans="1:3" x14ac:dyDescent="0.25">
      <c r="A74">
        <f t="shared" si="3"/>
        <v>1440</v>
      </c>
      <c r="B74">
        <v>65.900000000000006</v>
      </c>
      <c r="C74">
        <f t="shared" si="2"/>
        <v>40</v>
      </c>
    </row>
    <row r="75" spans="1:3" x14ac:dyDescent="0.25">
      <c r="A75">
        <f t="shared" si="3"/>
        <v>1460</v>
      </c>
      <c r="B75">
        <v>65.8</v>
      </c>
      <c r="C75">
        <f t="shared" si="2"/>
        <v>10</v>
      </c>
    </row>
    <row r="76" spans="1:3" x14ac:dyDescent="0.25">
      <c r="A76">
        <f t="shared" si="3"/>
        <v>1480</v>
      </c>
      <c r="B76">
        <v>65.7</v>
      </c>
      <c r="C76">
        <f t="shared" si="2"/>
        <v>30</v>
      </c>
    </row>
    <row r="77" spans="1:3" x14ac:dyDescent="0.25">
      <c r="A77">
        <f t="shared" si="3"/>
        <v>1500</v>
      </c>
      <c r="B77">
        <v>65.5</v>
      </c>
      <c r="C77">
        <f t="shared" si="2"/>
        <v>0</v>
      </c>
    </row>
    <row r="78" spans="1:3" x14ac:dyDescent="0.25">
      <c r="A78">
        <f t="shared" si="3"/>
        <v>1520</v>
      </c>
      <c r="B78">
        <v>65.7</v>
      </c>
      <c r="C78">
        <f t="shared" si="2"/>
        <v>20</v>
      </c>
    </row>
    <row r="79" spans="1:3" x14ac:dyDescent="0.25">
      <c r="A79">
        <f t="shared" si="3"/>
        <v>1540</v>
      </c>
      <c r="B79">
        <v>65.7</v>
      </c>
      <c r="C79">
        <f t="shared" si="2"/>
        <v>40</v>
      </c>
    </row>
    <row r="80" spans="1:3" x14ac:dyDescent="0.25">
      <c r="C80">
        <f t="shared" si="2"/>
        <v>0</v>
      </c>
    </row>
    <row r="81" spans="3:3" x14ac:dyDescent="0.25">
      <c r="C81">
        <f t="shared" si="2"/>
        <v>0</v>
      </c>
    </row>
    <row r="82" spans="3:3" x14ac:dyDescent="0.25">
      <c r="C82">
        <f t="shared" si="2"/>
        <v>0</v>
      </c>
    </row>
    <row r="83" spans="3:3" x14ac:dyDescent="0.25">
      <c r="C83">
        <f t="shared" si="2"/>
        <v>0</v>
      </c>
    </row>
    <row r="84" spans="3:3" x14ac:dyDescent="0.25">
      <c r="C84">
        <f t="shared" si="2"/>
        <v>0</v>
      </c>
    </row>
    <row r="85" spans="3:3" x14ac:dyDescent="0.25">
      <c r="C85">
        <f t="shared" si="2"/>
        <v>0</v>
      </c>
    </row>
    <row r="86" spans="3:3" x14ac:dyDescent="0.25">
      <c r="C86">
        <f t="shared" si="2"/>
        <v>0</v>
      </c>
    </row>
    <row r="87" spans="3:3" x14ac:dyDescent="0.25">
      <c r="C87">
        <f t="shared" si="2"/>
        <v>0</v>
      </c>
    </row>
    <row r="88" spans="3:3" x14ac:dyDescent="0.25">
      <c r="C88">
        <f t="shared" si="2"/>
        <v>0</v>
      </c>
    </row>
    <row r="89" spans="3:3" x14ac:dyDescent="0.25">
      <c r="C89">
        <f t="shared" si="2"/>
        <v>0</v>
      </c>
    </row>
    <row r="90" spans="3:3" x14ac:dyDescent="0.25">
      <c r="C90">
        <f t="shared" si="2"/>
        <v>0</v>
      </c>
    </row>
    <row r="91" spans="3:3" x14ac:dyDescent="0.25">
      <c r="C91">
        <f t="shared" si="2"/>
        <v>0</v>
      </c>
    </row>
    <row r="92" spans="3:3" x14ac:dyDescent="0.25">
      <c r="C92">
        <f t="shared" si="2"/>
        <v>0</v>
      </c>
    </row>
    <row r="93" spans="3:3" x14ac:dyDescent="0.25">
      <c r="C93">
        <f t="shared" si="2"/>
        <v>0</v>
      </c>
    </row>
    <row r="94" spans="3:3" x14ac:dyDescent="0.25">
      <c r="C94">
        <f t="shared" si="2"/>
        <v>0</v>
      </c>
    </row>
    <row r="95" spans="3:3" x14ac:dyDescent="0.25">
      <c r="C95">
        <f t="shared" si="2"/>
        <v>0</v>
      </c>
    </row>
    <row r="96" spans="3:3" x14ac:dyDescent="0.25">
      <c r="C96">
        <f t="shared" si="2"/>
        <v>0</v>
      </c>
    </row>
    <row r="97" spans="3:3" x14ac:dyDescent="0.25">
      <c r="C97">
        <f t="shared" si="2"/>
        <v>0</v>
      </c>
    </row>
    <row r="98" spans="3:3" x14ac:dyDescent="0.25">
      <c r="C98">
        <f t="shared" si="2"/>
        <v>0</v>
      </c>
    </row>
    <row r="99" spans="3:3" x14ac:dyDescent="0.25">
      <c r="C99">
        <f t="shared" si="2"/>
        <v>0</v>
      </c>
    </row>
    <row r="100" spans="3:3" x14ac:dyDescent="0.25">
      <c r="C100">
        <f t="shared" si="2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0FF8-A8FB-43DC-A54A-40C971D23709}">
  <dimension ref="A1:O174"/>
  <sheetViews>
    <sheetView tabSelected="1" workbookViewId="0">
      <selection sqref="A1:F8"/>
    </sheetView>
  </sheetViews>
  <sheetFormatPr baseColWidth="10" defaultRowHeight="15" x14ac:dyDescent="0.25"/>
  <cols>
    <col min="2" max="2" width="17.85546875" customWidth="1"/>
    <col min="6" max="6" width="11.7109375" bestFit="1" customWidth="1"/>
  </cols>
  <sheetData>
    <row r="1" spans="1:15" x14ac:dyDescent="0.25">
      <c r="A1" t="s">
        <v>3</v>
      </c>
      <c r="B1" t="s">
        <v>4</v>
      </c>
      <c r="F1" t="s">
        <v>5</v>
      </c>
    </row>
    <row r="2" spans="1:15" x14ac:dyDescent="0.25">
      <c r="A2">
        <v>0</v>
      </c>
      <c r="B2">
        <f>ROUND(AVERAGE(C2:E2),2)</f>
        <v>14.67</v>
      </c>
      <c r="C2">
        <v>19</v>
      </c>
      <c r="D2">
        <v>12</v>
      </c>
      <c r="E2">
        <v>13</v>
      </c>
      <c r="F2">
        <f>_xlfn.STDEV.S(C2:E2)</f>
        <v>3.7859388972001797</v>
      </c>
    </row>
    <row r="3" spans="1:15" x14ac:dyDescent="0.25">
      <c r="A3">
        <f>A2+5</f>
        <v>5</v>
      </c>
      <c r="B3">
        <f t="shared" ref="B3:B66" si="0">ROUND(AVERAGE(C3:E3),2)</f>
        <v>15.67</v>
      </c>
      <c r="C3">
        <v>14</v>
      </c>
      <c r="D3">
        <v>16</v>
      </c>
      <c r="E3">
        <v>17</v>
      </c>
      <c r="F3">
        <f t="shared" ref="F3:F66" si="1">_xlfn.STDEV.S(C3:E3)</f>
        <v>1.5275252316519468</v>
      </c>
      <c r="O3">
        <f>MAX(D1:D192)</f>
        <v>120</v>
      </c>
    </row>
    <row r="4" spans="1:15" x14ac:dyDescent="0.25">
      <c r="A4">
        <f t="shared" ref="A4:A67" si="2">A3+5</f>
        <v>10</v>
      </c>
      <c r="B4">
        <f t="shared" si="0"/>
        <v>15.67</v>
      </c>
      <c r="C4">
        <v>13</v>
      </c>
      <c r="D4">
        <v>12</v>
      </c>
      <c r="E4">
        <v>22</v>
      </c>
      <c r="F4">
        <f t="shared" si="1"/>
        <v>5.5075705472861003</v>
      </c>
    </row>
    <row r="5" spans="1:15" x14ac:dyDescent="0.25">
      <c r="A5">
        <f t="shared" si="2"/>
        <v>15</v>
      </c>
      <c r="B5">
        <f t="shared" si="0"/>
        <v>15</v>
      </c>
      <c r="C5">
        <v>16</v>
      </c>
      <c r="D5">
        <v>14</v>
      </c>
      <c r="E5">
        <v>15</v>
      </c>
      <c r="F5">
        <f t="shared" si="1"/>
        <v>1</v>
      </c>
    </row>
    <row r="6" spans="1:15" x14ac:dyDescent="0.25">
      <c r="A6">
        <f t="shared" si="2"/>
        <v>20</v>
      </c>
      <c r="B6">
        <f t="shared" si="0"/>
        <v>13.67</v>
      </c>
      <c r="C6">
        <v>8</v>
      </c>
      <c r="D6">
        <v>14</v>
      </c>
      <c r="E6">
        <v>19</v>
      </c>
      <c r="F6">
        <f t="shared" si="1"/>
        <v>5.5075705472861003</v>
      </c>
    </row>
    <row r="7" spans="1:15" x14ac:dyDescent="0.25">
      <c r="A7">
        <f t="shared" si="2"/>
        <v>25</v>
      </c>
      <c r="B7">
        <f t="shared" si="0"/>
        <v>13.67</v>
      </c>
      <c r="C7">
        <v>12</v>
      </c>
      <c r="D7">
        <v>16</v>
      </c>
      <c r="E7">
        <v>13</v>
      </c>
      <c r="F7">
        <f t="shared" si="1"/>
        <v>2.0816659994661282</v>
      </c>
    </row>
    <row r="8" spans="1:15" x14ac:dyDescent="0.25">
      <c r="A8">
        <f t="shared" si="2"/>
        <v>30</v>
      </c>
      <c r="B8">
        <f t="shared" si="0"/>
        <v>11.67</v>
      </c>
      <c r="C8">
        <v>9</v>
      </c>
      <c r="D8">
        <v>15</v>
      </c>
      <c r="E8">
        <v>11</v>
      </c>
      <c r="F8">
        <f t="shared" si="1"/>
        <v>3.0550504633038948</v>
      </c>
    </row>
    <row r="9" spans="1:15" x14ac:dyDescent="0.25">
      <c r="A9">
        <f t="shared" si="2"/>
        <v>35</v>
      </c>
      <c r="B9">
        <f t="shared" si="0"/>
        <v>12.67</v>
      </c>
      <c r="C9">
        <v>11</v>
      </c>
      <c r="D9">
        <v>13</v>
      </c>
      <c r="E9">
        <v>14</v>
      </c>
      <c r="F9">
        <f t="shared" si="1"/>
        <v>1.5275252316519468</v>
      </c>
    </row>
    <row r="10" spans="1:15" x14ac:dyDescent="0.25">
      <c r="A10">
        <f t="shared" si="2"/>
        <v>40</v>
      </c>
      <c r="B10">
        <f t="shared" si="0"/>
        <v>10.67</v>
      </c>
      <c r="C10">
        <v>11</v>
      </c>
      <c r="D10">
        <v>9</v>
      </c>
      <c r="E10">
        <v>12</v>
      </c>
      <c r="F10">
        <f t="shared" si="1"/>
        <v>1.5275252316519499</v>
      </c>
    </row>
    <row r="11" spans="1:15" x14ac:dyDescent="0.25">
      <c r="A11">
        <f t="shared" si="2"/>
        <v>45</v>
      </c>
      <c r="B11">
        <f t="shared" si="0"/>
        <v>13</v>
      </c>
      <c r="C11">
        <v>16</v>
      </c>
      <c r="D11">
        <v>11</v>
      </c>
      <c r="E11">
        <v>12</v>
      </c>
      <c r="F11">
        <f t="shared" si="1"/>
        <v>2.6457513110645907</v>
      </c>
    </row>
    <row r="12" spans="1:15" x14ac:dyDescent="0.25">
      <c r="A12">
        <f t="shared" si="2"/>
        <v>50</v>
      </c>
      <c r="B12">
        <f t="shared" si="0"/>
        <v>9.33</v>
      </c>
      <c r="C12">
        <v>11</v>
      </c>
      <c r="D12">
        <v>10</v>
      </c>
      <c r="E12">
        <v>7</v>
      </c>
      <c r="F12">
        <f t="shared" si="1"/>
        <v>2.0816659994661348</v>
      </c>
    </row>
    <row r="13" spans="1:15" x14ac:dyDescent="0.25">
      <c r="A13">
        <f t="shared" si="2"/>
        <v>55</v>
      </c>
      <c r="B13">
        <f t="shared" si="0"/>
        <v>11</v>
      </c>
      <c r="C13">
        <v>11</v>
      </c>
      <c r="D13">
        <v>10</v>
      </c>
      <c r="E13">
        <v>12</v>
      </c>
      <c r="F13">
        <f t="shared" si="1"/>
        <v>1</v>
      </c>
    </row>
    <row r="14" spans="1:15" x14ac:dyDescent="0.25">
      <c r="A14">
        <f t="shared" si="2"/>
        <v>60</v>
      </c>
      <c r="B14">
        <f t="shared" si="0"/>
        <v>13</v>
      </c>
      <c r="C14">
        <v>9</v>
      </c>
      <c r="D14">
        <v>14</v>
      </c>
      <c r="E14">
        <v>16</v>
      </c>
      <c r="F14">
        <f t="shared" si="1"/>
        <v>3.6055512754639891</v>
      </c>
    </row>
    <row r="15" spans="1:15" x14ac:dyDescent="0.25">
      <c r="A15">
        <f t="shared" si="2"/>
        <v>65</v>
      </c>
      <c r="B15">
        <f t="shared" si="0"/>
        <v>9.67</v>
      </c>
      <c r="C15">
        <v>8</v>
      </c>
      <c r="D15">
        <v>12</v>
      </c>
      <c r="E15">
        <v>9</v>
      </c>
      <c r="F15">
        <f t="shared" si="1"/>
        <v>2.0816659994661348</v>
      </c>
    </row>
    <row r="16" spans="1:15" x14ac:dyDescent="0.25">
      <c r="A16">
        <f t="shared" si="2"/>
        <v>70</v>
      </c>
      <c r="B16">
        <f t="shared" si="0"/>
        <v>11.33</v>
      </c>
      <c r="C16">
        <v>14</v>
      </c>
      <c r="D16">
        <v>11</v>
      </c>
      <c r="E16">
        <v>9</v>
      </c>
      <c r="F16">
        <f t="shared" si="1"/>
        <v>2.5166114784235849</v>
      </c>
    </row>
    <row r="17" spans="1:6" x14ac:dyDescent="0.25">
      <c r="A17">
        <f t="shared" si="2"/>
        <v>75</v>
      </c>
      <c r="B17">
        <f t="shared" si="0"/>
        <v>12</v>
      </c>
      <c r="C17">
        <v>14</v>
      </c>
      <c r="D17">
        <v>13</v>
      </c>
      <c r="E17">
        <v>9</v>
      </c>
      <c r="F17">
        <f t="shared" si="1"/>
        <v>2.6457513110645907</v>
      </c>
    </row>
    <row r="18" spans="1:6" x14ac:dyDescent="0.25">
      <c r="A18">
        <f t="shared" si="2"/>
        <v>80</v>
      </c>
      <c r="B18">
        <f t="shared" si="0"/>
        <v>11.33</v>
      </c>
      <c r="C18">
        <v>11</v>
      </c>
      <c r="D18">
        <v>13</v>
      </c>
      <c r="E18">
        <v>10</v>
      </c>
      <c r="F18">
        <f t="shared" si="1"/>
        <v>1.5275252316519499</v>
      </c>
    </row>
    <row r="19" spans="1:6" x14ac:dyDescent="0.25">
      <c r="A19">
        <f t="shared" si="2"/>
        <v>85</v>
      </c>
      <c r="B19">
        <f t="shared" si="0"/>
        <v>17.670000000000002</v>
      </c>
      <c r="C19">
        <v>13</v>
      </c>
      <c r="D19">
        <v>25</v>
      </c>
      <c r="E19">
        <v>15</v>
      </c>
      <c r="F19">
        <f t="shared" si="1"/>
        <v>6.4291005073286351</v>
      </c>
    </row>
    <row r="20" spans="1:6" x14ac:dyDescent="0.25">
      <c r="A20">
        <f t="shared" si="2"/>
        <v>90</v>
      </c>
      <c r="B20">
        <f t="shared" si="0"/>
        <v>11</v>
      </c>
      <c r="C20">
        <v>8</v>
      </c>
      <c r="D20">
        <v>11</v>
      </c>
      <c r="E20">
        <v>14</v>
      </c>
      <c r="F20">
        <f t="shared" si="1"/>
        <v>3</v>
      </c>
    </row>
    <row r="21" spans="1:6" x14ac:dyDescent="0.25">
      <c r="A21">
        <f t="shared" si="2"/>
        <v>95</v>
      </c>
      <c r="B21">
        <f t="shared" si="0"/>
        <v>12.33</v>
      </c>
      <c r="C21">
        <v>9</v>
      </c>
      <c r="D21">
        <v>12</v>
      </c>
      <c r="E21">
        <v>16</v>
      </c>
      <c r="F21">
        <f t="shared" si="1"/>
        <v>3.5118845842842474</v>
      </c>
    </row>
    <row r="22" spans="1:6" x14ac:dyDescent="0.25">
      <c r="A22">
        <f t="shared" si="2"/>
        <v>100</v>
      </c>
      <c r="B22">
        <f t="shared" si="0"/>
        <v>8.33</v>
      </c>
      <c r="C22">
        <v>9</v>
      </c>
      <c r="D22">
        <v>11</v>
      </c>
      <c r="E22">
        <v>5</v>
      </c>
      <c r="F22">
        <f t="shared" si="1"/>
        <v>3.0550504633038926</v>
      </c>
    </row>
    <row r="23" spans="1:6" x14ac:dyDescent="0.25">
      <c r="A23">
        <f t="shared" si="2"/>
        <v>105</v>
      </c>
      <c r="B23">
        <f t="shared" si="0"/>
        <v>14.33</v>
      </c>
      <c r="C23">
        <v>17</v>
      </c>
      <c r="D23">
        <v>14</v>
      </c>
      <c r="E23">
        <v>12</v>
      </c>
      <c r="F23">
        <f t="shared" si="1"/>
        <v>2.5166114784235796</v>
      </c>
    </row>
    <row r="24" spans="1:6" x14ac:dyDescent="0.25">
      <c r="A24">
        <f t="shared" si="2"/>
        <v>110</v>
      </c>
      <c r="B24">
        <f t="shared" si="0"/>
        <v>12.67</v>
      </c>
      <c r="C24">
        <v>12</v>
      </c>
      <c r="D24">
        <v>9</v>
      </c>
      <c r="E24">
        <v>17</v>
      </c>
      <c r="F24">
        <f t="shared" si="1"/>
        <v>4.0414518843273814</v>
      </c>
    </row>
    <row r="25" spans="1:6" x14ac:dyDescent="0.25">
      <c r="A25">
        <f t="shared" si="2"/>
        <v>115</v>
      </c>
      <c r="B25">
        <f t="shared" si="0"/>
        <v>13</v>
      </c>
      <c r="C25">
        <v>12</v>
      </c>
      <c r="D25">
        <v>14</v>
      </c>
      <c r="E25">
        <v>13</v>
      </c>
      <c r="F25">
        <f t="shared" si="1"/>
        <v>1</v>
      </c>
    </row>
    <row r="26" spans="1:6" x14ac:dyDescent="0.25">
      <c r="A26">
        <f t="shared" si="2"/>
        <v>120</v>
      </c>
      <c r="B26">
        <f t="shared" si="0"/>
        <v>15</v>
      </c>
      <c r="C26">
        <v>15</v>
      </c>
      <c r="D26">
        <v>14</v>
      </c>
      <c r="E26">
        <v>16</v>
      </c>
      <c r="F26">
        <f t="shared" si="1"/>
        <v>1</v>
      </c>
    </row>
    <row r="27" spans="1:6" x14ac:dyDescent="0.25">
      <c r="A27">
        <f t="shared" si="2"/>
        <v>125</v>
      </c>
      <c r="B27">
        <f t="shared" si="0"/>
        <v>19.329999999999998</v>
      </c>
      <c r="C27">
        <v>19</v>
      </c>
      <c r="D27">
        <v>24</v>
      </c>
      <c r="E27">
        <v>15</v>
      </c>
      <c r="F27">
        <f t="shared" si="1"/>
        <v>4.5092497528228987</v>
      </c>
    </row>
    <row r="28" spans="1:6" x14ac:dyDescent="0.25">
      <c r="A28">
        <f t="shared" si="2"/>
        <v>130</v>
      </c>
      <c r="B28">
        <f t="shared" si="0"/>
        <v>19</v>
      </c>
      <c r="C28">
        <v>19</v>
      </c>
      <c r="D28">
        <v>15</v>
      </c>
      <c r="E28">
        <v>23</v>
      </c>
      <c r="F28">
        <f t="shared" si="1"/>
        <v>4</v>
      </c>
    </row>
    <row r="29" spans="1:6" x14ac:dyDescent="0.25">
      <c r="A29">
        <f t="shared" si="2"/>
        <v>135</v>
      </c>
      <c r="B29">
        <f t="shared" si="0"/>
        <v>18.329999999999998</v>
      </c>
      <c r="C29">
        <v>20</v>
      </c>
      <c r="D29">
        <v>18</v>
      </c>
      <c r="E29">
        <v>17</v>
      </c>
      <c r="F29">
        <f t="shared" si="1"/>
        <v>1.5275252316519465</v>
      </c>
    </row>
    <row r="30" spans="1:6" x14ac:dyDescent="0.25">
      <c r="A30">
        <f t="shared" si="2"/>
        <v>140</v>
      </c>
      <c r="B30">
        <f t="shared" si="0"/>
        <v>18.670000000000002</v>
      </c>
      <c r="C30">
        <v>17</v>
      </c>
      <c r="D30">
        <v>19</v>
      </c>
      <c r="E30">
        <v>20</v>
      </c>
      <c r="F30">
        <f t="shared" si="1"/>
        <v>1.5275252316519465</v>
      </c>
    </row>
    <row r="31" spans="1:6" x14ac:dyDescent="0.25">
      <c r="A31">
        <f t="shared" si="2"/>
        <v>145</v>
      </c>
      <c r="B31">
        <f t="shared" si="0"/>
        <v>16.329999999999998</v>
      </c>
      <c r="C31">
        <v>16</v>
      </c>
      <c r="D31">
        <v>15</v>
      </c>
      <c r="E31">
        <v>18</v>
      </c>
      <c r="F31">
        <f t="shared" si="1"/>
        <v>1.5275252316519465</v>
      </c>
    </row>
    <row r="32" spans="1:6" x14ac:dyDescent="0.25">
      <c r="A32">
        <f t="shared" si="2"/>
        <v>150</v>
      </c>
      <c r="B32">
        <f t="shared" si="0"/>
        <v>15</v>
      </c>
      <c r="C32">
        <v>15</v>
      </c>
      <c r="D32">
        <v>16</v>
      </c>
      <c r="E32">
        <v>14</v>
      </c>
      <c r="F32">
        <f t="shared" si="1"/>
        <v>1</v>
      </c>
    </row>
    <row r="33" spans="1:6" x14ac:dyDescent="0.25">
      <c r="A33">
        <f t="shared" si="2"/>
        <v>155</v>
      </c>
      <c r="B33">
        <f t="shared" si="0"/>
        <v>17</v>
      </c>
      <c r="C33">
        <v>15</v>
      </c>
      <c r="D33">
        <v>17</v>
      </c>
      <c r="E33">
        <v>19</v>
      </c>
      <c r="F33">
        <f t="shared" si="1"/>
        <v>2</v>
      </c>
    </row>
    <row r="34" spans="1:6" x14ac:dyDescent="0.25">
      <c r="A34">
        <f t="shared" si="2"/>
        <v>160</v>
      </c>
      <c r="B34">
        <f t="shared" si="0"/>
        <v>18.670000000000002</v>
      </c>
      <c r="C34">
        <v>23</v>
      </c>
      <c r="D34">
        <v>19</v>
      </c>
      <c r="E34">
        <v>14</v>
      </c>
      <c r="F34">
        <f t="shared" si="1"/>
        <v>4.5092497528228987</v>
      </c>
    </row>
    <row r="35" spans="1:6" x14ac:dyDescent="0.25">
      <c r="A35">
        <f t="shared" si="2"/>
        <v>165</v>
      </c>
      <c r="B35">
        <f t="shared" si="0"/>
        <v>21</v>
      </c>
      <c r="C35">
        <v>21</v>
      </c>
      <c r="D35">
        <v>20</v>
      </c>
      <c r="E35">
        <v>22</v>
      </c>
      <c r="F35">
        <f t="shared" si="1"/>
        <v>1</v>
      </c>
    </row>
    <row r="36" spans="1:6" x14ac:dyDescent="0.25">
      <c r="A36">
        <f t="shared" si="2"/>
        <v>170</v>
      </c>
      <c r="B36">
        <f t="shared" si="0"/>
        <v>25.67</v>
      </c>
      <c r="C36">
        <v>23</v>
      </c>
      <c r="D36">
        <v>25</v>
      </c>
      <c r="E36">
        <v>29</v>
      </c>
      <c r="F36">
        <f t="shared" si="1"/>
        <v>3.0550504633038935</v>
      </c>
    </row>
    <row r="37" spans="1:6" x14ac:dyDescent="0.25">
      <c r="A37">
        <f t="shared" si="2"/>
        <v>175</v>
      </c>
      <c r="B37">
        <f t="shared" si="0"/>
        <v>24.33</v>
      </c>
      <c r="C37">
        <v>23</v>
      </c>
      <c r="D37">
        <v>22</v>
      </c>
      <c r="E37">
        <v>28</v>
      </c>
      <c r="F37">
        <f t="shared" si="1"/>
        <v>3.2145502536643242</v>
      </c>
    </row>
    <row r="38" spans="1:6" x14ac:dyDescent="0.25">
      <c r="A38">
        <f t="shared" si="2"/>
        <v>180</v>
      </c>
      <c r="B38">
        <f t="shared" si="0"/>
        <v>32.33</v>
      </c>
      <c r="C38">
        <v>32</v>
      </c>
      <c r="D38">
        <v>34</v>
      </c>
      <c r="E38">
        <v>31</v>
      </c>
      <c r="F38">
        <f t="shared" si="1"/>
        <v>1.5275252316519465</v>
      </c>
    </row>
    <row r="39" spans="1:6" x14ac:dyDescent="0.25">
      <c r="A39">
        <f t="shared" si="2"/>
        <v>185</v>
      </c>
      <c r="B39">
        <f t="shared" si="0"/>
        <v>32</v>
      </c>
      <c r="C39">
        <v>33</v>
      </c>
      <c r="D39">
        <v>34</v>
      </c>
      <c r="E39">
        <v>29</v>
      </c>
      <c r="F39">
        <f t="shared" si="1"/>
        <v>2.6457513110645907</v>
      </c>
    </row>
    <row r="40" spans="1:6" x14ac:dyDescent="0.25">
      <c r="A40">
        <f t="shared" si="2"/>
        <v>190</v>
      </c>
      <c r="B40">
        <f t="shared" si="0"/>
        <v>39</v>
      </c>
      <c r="C40">
        <v>41</v>
      </c>
      <c r="D40">
        <v>36</v>
      </c>
      <c r="E40">
        <v>40</v>
      </c>
      <c r="F40">
        <f t="shared" si="1"/>
        <v>2.6457513110645907</v>
      </c>
    </row>
    <row r="41" spans="1:6" x14ac:dyDescent="0.25">
      <c r="A41">
        <f t="shared" si="2"/>
        <v>195</v>
      </c>
      <c r="B41">
        <f t="shared" si="0"/>
        <v>41.33</v>
      </c>
      <c r="C41">
        <v>44</v>
      </c>
      <c r="D41">
        <v>39</v>
      </c>
      <c r="E41">
        <v>41</v>
      </c>
      <c r="F41">
        <f t="shared" si="1"/>
        <v>2.5166114784235831</v>
      </c>
    </row>
    <row r="42" spans="1:6" x14ac:dyDescent="0.25">
      <c r="A42">
        <f t="shared" si="2"/>
        <v>200</v>
      </c>
      <c r="B42">
        <f t="shared" si="0"/>
        <v>33</v>
      </c>
      <c r="C42">
        <v>38</v>
      </c>
      <c r="D42">
        <v>29</v>
      </c>
      <c r="E42">
        <v>32</v>
      </c>
      <c r="F42">
        <f t="shared" si="1"/>
        <v>4.5825756949558398</v>
      </c>
    </row>
    <row r="43" spans="1:6" x14ac:dyDescent="0.25">
      <c r="A43">
        <f t="shared" si="2"/>
        <v>205</v>
      </c>
      <c r="B43">
        <f t="shared" si="0"/>
        <v>34</v>
      </c>
      <c r="C43">
        <v>33</v>
      </c>
      <c r="D43">
        <v>37</v>
      </c>
      <c r="E43">
        <v>32</v>
      </c>
      <c r="F43">
        <f t="shared" si="1"/>
        <v>2.6457513110645907</v>
      </c>
    </row>
    <row r="44" spans="1:6" x14ac:dyDescent="0.25">
      <c r="A44">
        <f t="shared" si="2"/>
        <v>210</v>
      </c>
      <c r="B44">
        <f t="shared" si="0"/>
        <v>33</v>
      </c>
      <c r="C44">
        <v>39</v>
      </c>
      <c r="D44">
        <v>31</v>
      </c>
      <c r="E44">
        <v>29</v>
      </c>
      <c r="F44">
        <f t="shared" si="1"/>
        <v>5.2915026221291814</v>
      </c>
    </row>
    <row r="45" spans="1:6" x14ac:dyDescent="0.25">
      <c r="A45">
        <f t="shared" si="2"/>
        <v>215</v>
      </c>
      <c r="B45">
        <f t="shared" si="0"/>
        <v>25.67</v>
      </c>
      <c r="C45">
        <v>22</v>
      </c>
      <c r="D45">
        <v>26</v>
      </c>
      <c r="E45">
        <v>29</v>
      </c>
      <c r="F45">
        <f t="shared" si="1"/>
        <v>3.5118845842842519</v>
      </c>
    </row>
    <row r="46" spans="1:6" x14ac:dyDescent="0.25">
      <c r="A46">
        <f t="shared" si="2"/>
        <v>220</v>
      </c>
      <c r="B46">
        <f t="shared" si="0"/>
        <v>25.67</v>
      </c>
      <c r="C46">
        <v>27</v>
      </c>
      <c r="D46">
        <v>26</v>
      </c>
      <c r="E46">
        <v>24</v>
      </c>
      <c r="F46">
        <f t="shared" si="1"/>
        <v>1.5275252316519465</v>
      </c>
    </row>
    <row r="47" spans="1:6" x14ac:dyDescent="0.25">
      <c r="A47">
        <f t="shared" si="2"/>
        <v>225</v>
      </c>
      <c r="B47">
        <f t="shared" si="0"/>
        <v>30.33</v>
      </c>
      <c r="C47">
        <v>27</v>
      </c>
      <c r="D47">
        <v>29</v>
      </c>
      <c r="E47">
        <v>35</v>
      </c>
      <c r="F47">
        <f t="shared" si="1"/>
        <v>4.1633319989322564</v>
      </c>
    </row>
    <row r="48" spans="1:6" x14ac:dyDescent="0.25">
      <c r="A48">
        <f t="shared" si="2"/>
        <v>230</v>
      </c>
      <c r="B48">
        <f t="shared" si="0"/>
        <v>39.33</v>
      </c>
      <c r="C48">
        <v>39</v>
      </c>
      <c r="D48">
        <v>42</v>
      </c>
      <c r="E48">
        <v>37</v>
      </c>
      <c r="F48">
        <f t="shared" si="1"/>
        <v>2.5166114784235831</v>
      </c>
    </row>
    <row r="49" spans="1:6" x14ac:dyDescent="0.25">
      <c r="A49">
        <f t="shared" si="2"/>
        <v>235</v>
      </c>
      <c r="B49">
        <f t="shared" si="0"/>
        <v>42.33</v>
      </c>
      <c r="C49">
        <v>39</v>
      </c>
      <c r="D49">
        <v>42</v>
      </c>
      <c r="E49">
        <v>46</v>
      </c>
      <c r="F49">
        <f t="shared" si="1"/>
        <v>3.5118845842842461</v>
      </c>
    </row>
    <row r="50" spans="1:6" x14ac:dyDescent="0.25">
      <c r="A50">
        <f t="shared" si="2"/>
        <v>240</v>
      </c>
      <c r="B50">
        <f t="shared" si="0"/>
        <v>54.33</v>
      </c>
      <c r="C50">
        <v>48</v>
      </c>
      <c r="D50">
        <v>51</v>
      </c>
      <c r="E50">
        <v>64</v>
      </c>
      <c r="F50">
        <f t="shared" si="1"/>
        <v>8.5049005481153639</v>
      </c>
    </row>
    <row r="51" spans="1:6" x14ac:dyDescent="0.25">
      <c r="A51">
        <f t="shared" si="2"/>
        <v>245</v>
      </c>
      <c r="B51">
        <f t="shared" si="0"/>
        <v>57.67</v>
      </c>
      <c r="C51">
        <v>53</v>
      </c>
      <c r="D51">
        <v>58</v>
      </c>
      <c r="E51">
        <v>62</v>
      </c>
      <c r="F51">
        <f t="shared" si="1"/>
        <v>4.5092497528228943</v>
      </c>
    </row>
    <row r="52" spans="1:6" x14ac:dyDescent="0.25">
      <c r="A52">
        <f t="shared" si="2"/>
        <v>250</v>
      </c>
      <c r="B52">
        <f t="shared" si="0"/>
        <v>63.67</v>
      </c>
      <c r="C52">
        <v>65</v>
      </c>
      <c r="D52">
        <v>67</v>
      </c>
      <c r="E52">
        <v>59</v>
      </c>
      <c r="F52">
        <f t="shared" si="1"/>
        <v>4.1633319989322661</v>
      </c>
    </row>
    <row r="53" spans="1:6" x14ac:dyDescent="0.25">
      <c r="A53">
        <f t="shared" si="2"/>
        <v>255</v>
      </c>
      <c r="B53">
        <f t="shared" si="0"/>
        <v>69</v>
      </c>
      <c r="C53">
        <v>66</v>
      </c>
      <c r="D53">
        <v>68</v>
      </c>
      <c r="E53">
        <v>73</v>
      </c>
      <c r="F53">
        <f t="shared" si="1"/>
        <v>3.6055512754639891</v>
      </c>
    </row>
    <row r="54" spans="1:6" x14ac:dyDescent="0.25">
      <c r="A54">
        <f t="shared" si="2"/>
        <v>260</v>
      </c>
      <c r="B54">
        <f t="shared" si="0"/>
        <v>57.33</v>
      </c>
      <c r="C54">
        <v>62</v>
      </c>
      <c r="D54">
        <v>52</v>
      </c>
      <c r="E54">
        <v>58</v>
      </c>
      <c r="F54">
        <f t="shared" si="1"/>
        <v>5.0332229568471671</v>
      </c>
    </row>
    <row r="55" spans="1:6" x14ac:dyDescent="0.25">
      <c r="A55">
        <f t="shared" si="2"/>
        <v>265</v>
      </c>
      <c r="B55">
        <f t="shared" si="0"/>
        <v>49.67</v>
      </c>
      <c r="C55">
        <v>54</v>
      </c>
      <c r="D55">
        <v>52</v>
      </c>
      <c r="E55">
        <v>43</v>
      </c>
      <c r="F55">
        <f t="shared" si="1"/>
        <v>5.8594652770823155</v>
      </c>
    </row>
    <row r="56" spans="1:6" x14ac:dyDescent="0.25">
      <c r="A56">
        <f t="shared" si="2"/>
        <v>270</v>
      </c>
      <c r="B56">
        <f t="shared" si="0"/>
        <v>44</v>
      </c>
      <c r="C56">
        <v>46</v>
      </c>
      <c r="D56">
        <v>48</v>
      </c>
      <c r="E56">
        <v>38</v>
      </c>
      <c r="F56">
        <f t="shared" si="1"/>
        <v>5.2915026221291814</v>
      </c>
    </row>
    <row r="57" spans="1:6" x14ac:dyDescent="0.25">
      <c r="A57">
        <f t="shared" si="2"/>
        <v>275</v>
      </c>
      <c r="B57">
        <f t="shared" si="0"/>
        <v>38</v>
      </c>
      <c r="C57">
        <v>35</v>
      </c>
      <c r="D57">
        <v>43</v>
      </c>
      <c r="E57">
        <v>36</v>
      </c>
      <c r="F57">
        <f t="shared" si="1"/>
        <v>4.358898943540674</v>
      </c>
    </row>
    <row r="58" spans="1:6" x14ac:dyDescent="0.25">
      <c r="A58">
        <f t="shared" si="2"/>
        <v>280</v>
      </c>
      <c r="B58">
        <f t="shared" si="0"/>
        <v>40.33</v>
      </c>
      <c r="C58">
        <v>42</v>
      </c>
      <c r="D58">
        <v>39</v>
      </c>
      <c r="E58">
        <v>40</v>
      </c>
      <c r="F58">
        <f t="shared" si="1"/>
        <v>1.5275252316519465</v>
      </c>
    </row>
    <row r="59" spans="1:6" x14ac:dyDescent="0.25">
      <c r="A59">
        <f t="shared" si="2"/>
        <v>285</v>
      </c>
      <c r="B59">
        <f t="shared" si="0"/>
        <v>44.33</v>
      </c>
      <c r="C59">
        <v>47</v>
      </c>
      <c r="D59">
        <v>41</v>
      </c>
      <c r="E59">
        <v>45</v>
      </c>
      <c r="F59">
        <f t="shared" si="1"/>
        <v>3.0550504633038935</v>
      </c>
    </row>
    <row r="60" spans="1:6" x14ac:dyDescent="0.25">
      <c r="A60">
        <f t="shared" si="2"/>
        <v>290</v>
      </c>
      <c r="B60">
        <f t="shared" si="0"/>
        <v>55.33</v>
      </c>
      <c r="C60">
        <v>48</v>
      </c>
      <c r="D60">
        <v>55</v>
      </c>
      <c r="E60">
        <v>63</v>
      </c>
      <c r="F60">
        <f t="shared" si="1"/>
        <v>7.5055534994651145</v>
      </c>
    </row>
    <row r="61" spans="1:6" x14ac:dyDescent="0.25">
      <c r="A61">
        <f t="shared" si="2"/>
        <v>295</v>
      </c>
      <c r="B61">
        <f t="shared" si="0"/>
        <v>63.33</v>
      </c>
      <c r="C61">
        <v>55</v>
      </c>
      <c r="D61">
        <v>70</v>
      </c>
      <c r="E61">
        <v>65</v>
      </c>
      <c r="F61">
        <f t="shared" si="1"/>
        <v>7.6376261582597333</v>
      </c>
    </row>
    <row r="62" spans="1:6" x14ac:dyDescent="0.25">
      <c r="A62">
        <f t="shared" si="2"/>
        <v>300</v>
      </c>
      <c r="B62">
        <f t="shared" si="0"/>
        <v>75.67</v>
      </c>
      <c r="C62">
        <v>76</v>
      </c>
      <c r="D62">
        <v>83</v>
      </c>
      <c r="E62">
        <v>68</v>
      </c>
      <c r="F62">
        <f t="shared" si="1"/>
        <v>7.5055534994651349</v>
      </c>
    </row>
    <row r="63" spans="1:6" x14ac:dyDescent="0.25">
      <c r="A63">
        <f t="shared" si="2"/>
        <v>305</v>
      </c>
      <c r="B63">
        <f t="shared" si="0"/>
        <v>83.67</v>
      </c>
      <c r="C63">
        <v>94</v>
      </c>
      <c r="D63">
        <v>75</v>
      </c>
      <c r="E63">
        <v>82</v>
      </c>
      <c r="F63">
        <f t="shared" si="1"/>
        <v>9.6090235369330497</v>
      </c>
    </row>
    <row r="64" spans="1:6" x14ac:dyDescent="0.25">
      <c r="A64">
        <f t="shared" si="2"/>
        <v>310</v>
      </c>
      <c r="B64">
        <f t="shared" si="0"/>
        <v>87.67</v>
      </c>
      <c r="C64">
        <v>84</v>
      </c>
      <c r="D64">
        <v>82</v>
      </c>
      <c r="E64">
        <v>97</v>
      </c>
      <c r="F64">
        <f t="shared" si="1"/>
        <v>8.1445278152470788</v>
      </c>
    </row>
    <row r="65" spans="1:6" x14ac:dyDescent="0.25">
      <c r="A65">
        <f t="shared" si="2"/>
        <v>315</v>
      </c>
      <c r="B65">
        <f t="shared" si="0"/>
        <v>84.33</v>
      </c>
      <c r="C65">
        <v>89</v>
      </c>
      <c r="D65">
        <v>87</v>
      </c>
      <c r="E65">
        <v>77</v>
      </c>
      <c r="F65">
        <f t="shared" si="1"/>
        <v>6.429100507328636</v>
      </c>
    </row>
    <row r="66" spans="1:6" x14ac:dyDescent="0.25">
      <c r="A66">
        <f t="shared" si="2"/>
        <v>320</v>
      </c>
      <c r="B66">
        <f t="shared" si="0"/>
        <v>74</v>
      </c>
      <c r="C66">
        <v>79</v>
      </c>
      <c r="D66">
        <v>66</v>
      </c>
      <c r="E66">
        <v>77</v>
      </c>
      <c r="F66">
        <f t="shared" si="1"/>
        <v>7</v>
      </c>
    </row>
    <row r="67" spans="1:6" x14ac:dyDescent="0.25">
      <c r="A67">
        <f t="shared" si="2"/>
        <v>325</v>
      </c>
      <c r="B67">
        <f t="shared" ref="B67:B130" si="3">ROUND(AVERAGE(C67:E67),2)</f>
        <v>71</v>
      </c>
      <c r="C67">
        <v>66</v>
      </c>
      <c r="D67">
        <v>70</v>
      </c>
      <c r="E67">
        <v>77</v>
      </c>
      <c r="F67">
        <f t="shared" ref="F67:F130" si="4">_xlfn.STDEV.S(C67:E67)</f>
        <v>5.5677643628300215</v>
      </c>
    </row>
    <row r="68" spans="1:6" x14ac:dyDescent="0.25">
      <c r="A68">
        <f t="shared" ref="A68:A131" si="5">A67+5</f>
        <v>330</v>
      </c>
      <c r="B68">
        <f t="shared" si="3"/>
        <v>62.33</v>
      </c>
      <c r="C68">
        <v>71</v>
      </c>
      <c r="D68">
        <v>51</v>
      </c>
      <c r="E68">
        <v>65</v>
      </c>
      <c r="F68">
        <f t="shared" si="4"/>
        <v>10.263202878893754</v>
      </c>
    </row>
    <row r="69" spans="1:6" x14ac:dyDescent="0.25">
      <c r="A69">
        <f t="shared" si="5"/>
        <v>335</v>
      </c>
      <c r="B69">
        <f t="shared" si="3"/>
        <v>52.33</v>
      </c>
      <c r="C69">
        <v>64</v>
      </c>
      <c r="D69">
        <v>44</v>
      </c>
      <c r="E69">
        <v>49</v>
      </c>
      <c r="F69">
        <f t="shared" si="4"/>
        <v>10.408329997330648</v>
      </c>
    </row>
    <row r="70" spans="1:6" x14ac:dyDescent="0.25">
      <c r="A70">
        <f t="shared" si="5"/>
        <v>340</v>
      </c>
      <c r="B70">
        <f t="shared" si="3"/>
        <v>50.33</v>
      </c>
      <c r="C70">
        <v>53</v>
      </c>
      <c r="D70">
        <v>46</v>
      </c>
      <c r="E70">
        <v>52</v>
      </c>
      <c r="F70">
        <f t="shared" si="4"/>
        <v>3.7859388972001828</v>
      </c>
    </row>
    <row r="71" spans="1:6" x14ac:dyDescent="0.25">
      <c r="A71">
        <f t="shared" si="5"/>
        <v>345</v>
      </c>
      <c r="B71">
        <f t="shared" si="3"/>
        <v>55</v>
      </c>
      <c r="C71">
        <v>59</v>
      </c>
      <c r="D71">
        <v>55</v>
      </c>
      <c r="E71">
        <v>51</v>
      </c>
      <c r="F71">
        <f t="shared" si="4"/>
        <v>4</v>
      </c>
    </row>
    <row r="72" spans="1:6" x14ac:dyDescent="0.25">
      <c r="A72">
        <f t="shared" si="5"/>
        <v>350</v>
      </c>
      <c r="B72">
        <f t="shared" si="3"/>
        <v>63</v>
      </c>
      <c r="C72">
        <v>61</v>
      </c>
      <c r="D72">
        <v>66</v>
      </c>
      <c r="E72">
        <v>62</v>
      </c>
      <c r="F72">
        <f t="shared" si="4"/>
        <v>2.6457513110645907</v>
      </c>
    </row>
    <row r="73" spans="1:6" x14ac:dyDescent="0.25">
      <c r="A73">
        <f t="shared" si="5"/>
        <v>355</v>
      </c>
      <c r="B73">
        <f t="shared" si="3"/>
        <v>82.33</v>
      </c>
      <c r="C73">
        <v>89</v>
      </c>
      <c r="D73">
        <v>75</v>
      </c>
      <c r="E73">
        <v>83</v>
      </c>
      <c r="F73">
        <f t="shared" si="4"/>
        <v>7.0237691685684931</v>
      </c>
    </row>
    <row r="74" spans="1:6" x14ac:dyDescent="0.25">
      <c r="A74">
        <f t="shared" si="5"/>
        <v>360</v>
      </c>
      <c r="B74">
        <f t="shared" si="3"/>
        <v>93.33</v>
      </c>
      <c r="C74">
        <v>92</v>
      </c>
      <c r="D74">
        <v>95</v>
      </c>
      <c r="E74">
        <v>93</v>
      </c>
      <c r="F74">
        <f t="shared" si="4"/>
        <v>1.5275252316519468</v>
      </c>
    </row>
    <row r="75" spans="1:6" x14ac:dyDescent="0.25">
      <c r="A75">
        <f t="shared" si="5"/>
        <v>365</v>
      </c>
      <c r="B75">
        <f t="shared" si="3"/>
        <v>105.67</v>
      </c>
      <c r="C75">
        <v>103</v>
      </c>
      <c r="D75">
        <v>110</v>
      </c>
      <c r="E75">
        <v>104</v>
      </c>
      <c r="F75">
        <f t="shared" si="4"/>
        <v>3.7859388972001824</v>
      </c>
    </row>
    <row r="76" spans="1:6" x14ac:dyDescent="0.25">
      <c r="A76">
        <f t="shared" si="5"/>
        <v>370</v>
      </c>
      <c r="B76">
        <f t="shared" si="3"/>
        <v>113</v>
      </c>
      <c r="C76">
        <v>117</v>
      </c>
      <c r="D76">
        <v>120</v>
      </c>
      <c r="E76">
        <v>102</v>
      </c>
      <c r="F76">
        <f t="shared" si="4"/>
        <v>9.6436507609929549</v>
      </c>
    </row>
    <row r="77" spans="1:6" x14ac:dyDescent="0.25">
      <c r="A77">
        <f t="shared" si="5"/>
        <v>375</v>
      </c>
      <c r="B77">
        <f t="shared" si="3"/>
        <v>105.33</v>
      </c>
      <c r="C77">
        <v>100</v>
      </c>
      <c r="D77">
        <v>112</v>
      </c>
      <c r="E77">
        <v>104</v>
      </c>
      <c r="F77">
        <f t="shared" si="4"/>
        <v>6.110100926607787</v>
      </c>
    </row>
    <row r="78" spans="1:6" x14ac:dyDescent="0.25">
      <c r="A78">
        <f t="shared" si="5"/>
        <v>380</v>
      </c>
      <c r="B78">
        <f t="shared" si="3"/>
        <v>84.67</v>
      </c>
      <c r="C78">
        <v>85</v>
      </c>
      <c r="D78">
        <v>80</v>
      </c>
      <c r="E78">
        <v>89</v>
      </c>
      <c r="F78">
        <f t="shared" si="4"/>
        <v>4.5092497528228943</v>
      </c>
    </row>
    <row r="79" spans="1:6" x14ac:dyDescent="0.25">
      <c r="A79">
        <f t="shared" si="5"/>
        <v>385</v>
      </c>
      <c r="B79">
        <f t="shared" si="3"/>
        <v>67.67</v>
      </c>
      <c r="C79">
        <v>68</v>
      </c>
      <c r="D79">
        <v>64</v>
      </c>
      <c r="E79">
        <v>71</v>
      </c>
      <c r="F79">
        <f t="shared" si="4"/>
        <v>3.5118845842842461</v>
      </c>
    </row>
    <row r="80" spans="1:6" x14ac:dyDescent="0.25">
      <c r="A80">
        <f t="shared" si="5"/>
        <v>390</v>
      </c>
      <c r="B80">
        <f t="shared" si="3"/>
        <v>59.33</v>
      </c>
      <c r="C80">
        <v>65</v>
      </c>
      <c r="D80">
        <v>60</v>
      </c>
      <c r="E80">
        <v>53</v>
      </c>
      <c r="F80">
        <f t="shared" si="4"/>
        <v>6.0277137733417083</v>
      </c>
    </row>
    <row r="81" spans="1:6" x14ac:dyDescent="0.25">
      <c r="A81">
        <f t="shared" si="5"/>
        <v>395</v>
      </c>
      <c r="B81">
        <f t="shared" si="3"/>
        <v>57</v>
      </c>
      <c r="C81">
        <v>55</v>
      </c>
      <c r="D81">
        <v>56</v>
      </c>
      <c r="E81">
        <v>60</v>
      </c>
      <c r="F81">
        <f t="shared" si="4"/>
        <v>2.6457513110645907</v>
      </c>
    </row>
    <row r="82" spans="1:6" x14ac:dyDescent="0.25">
      <c r="A82">
        <f t="shared" si="5"/>
        <v>400</v>
      </c>
      <c r="B82">
        <f t="shared" si="3"/>
        <v>51</v>
      </c>
      <c r="C82">
        <v>51</v>
      </c>
      <c r="D82">
        <v>42</v>
      </c>
      <c r="E82">
        <v>60</v>
      </c>
      <c r="F82">
        <f t="shared" si="4"/>
        <v>9</v>
      </c>
    </row>
    <row r="83" spans="1:6" x14ac:dyDescent="0.25">
      <c r="A83">
        <f t="shared" si="5"/>
        <v>405</v>
      </c>
      <c r="B83">
        <f t="shared" si="3"/>
        <v>58.67</v>
      </c>
      <c r="C83">
        <v>58</v>
      </c>
      <c r="D83">
        <v>66</v>
      </c>
      <c r="E83">
        <v>52</v>
      </c>
      <c r="F83">
        <f t="shared" si="4"/>
        <v>7.0237691685684931</v>
      </c>
    </row>
    <row r="84" spans="1:6" x14ac:dyDescent="0.25">
      <c r="A84">
        <f t="shared" si="5"/>
        <v>410</v>
      </c>
      <c r="B84">
        <f t="shared" si="3"/>
        <v>78</v>
      </c>
      <c r="C84">
        <v>74</v>
      </c>
      <c r="D84">
        <v>83</v>
      </c>
      <c r="E84">
        <v>77</v>
      </c>
      <c r="F84">
        <f t="shared" si="4"/>
        <v>4.5825756949558398</v>
      </c>
    </row>
    <row r="85" spans="1:6" x14ac:dyDescent="0.25">
      <c r="A85">
        <f t="shared" si="5"/>
        <v>415</v>
      </c>
      <c r="B85">
        <f t="shared" si="3"/>
        <v>89.67</v>
      </c>
      <c r="C85">
        <v>81</v>
      </c>
      <c r="D85">
        <v>96</v>
      </c>
      <c r="E85">
        <v>92</v>
      </c>
      <c r="F85">
        <f t="shared" si="4"/>
        <v>7.7674534651540297</v>
      </c>
    </row>
    <row r="86" spans="1:6" x14ac:dyDescent="0.25">
      <c r="A86">
        <f t="shared" si="5"/>
        <v>420</v>
      </c>
      <c r="B86">
        <f t="shared" si="3"/>
        <v>101</v>
      </c>
      <c r="C86">
        <v>96</v>
      </c>
      <c r="D86">
        <v>101</v>
      </c>
      <c r="E86">
        <v>106</v>
      </c>
      <c r="F86">
        <f t="shared" si="4"/>
        <v>5</v>
      </c>
    </row>
    <row r="87" spans="1:6" x14ac:dyDescent="0.25">
      <c r="A87">
        <f t="shared" si="5"/>
        <v>425</v>
      </c>
      <c r="B87">
        <f t="shared" si="3"/>
        <v>110.67</v>
      </c>
      <c r="C87">
        <v>110</v>
      </c>
      <c r="D87">
        <v>107</v>
      </c>
      <c r="E87">
        <v>115</v>
      </c>
      <c r="F87">
        <f t="shared" si="4"/>
        <v>4.0414518843273806</v>
      </c>
    </row>
    <row r="88" spans="1:6" x14ac:dyDescent="0.25">
      <c r="A88">
        <f t="shared" si="5"/>
        <v>430</v>
      </c>
      <c r="B88">
        <f t="shared" si="3"/>
        <v>108</v>
      </c>
      <c r="C88">
        <v>108</v>
      </c>
      <c r="D88">
        <v>112</v>
      </c>
      <c r="E88">
        <v>104</v>
      </c>
      <c r="F88">
        <f t="shared" si="4"/>
        <v>4</v>
      </c>
    </row>
    <row r="89" spans="1:6" x14ac:dyDescent="0.25">
      <c r="A89">
        <f t="shared" si="5"/>
        <v>435</v>
      </c>
      <c r="B89">
        <f t="shared" si="3"/>
        <v>110</v>
      </c>
      <c r="C89">
        <v>103</v>
      </c>
      <c r="D89">
        <v>115</v>
      </c>
      <c r="E89">
        <v>112</v>
      </c>
      <c r="F89">
        <f t="shared" si="4"/>
        <v>6.2449979983983983</v>
      </c>
    </row>
    <row r="90" spans="1:6" x14ac:dyDescent="0.25">
      <c r="A90">
        <f t="shared" si="5"/>
        <v>440</v>
      </c>
      <c r="B90">
        <f t="shared" si="3"/>
        <v>91.67</v>
      </c>
      <c r="C90">
        <v>102</v>
      </c>
      <c r="D90">
        <v>86</v>
      </c>
      <c r="E90">
        <v>87</v>
      </c>
      <c r="F90">
        <f t="shared" si="4"/>
        <v>8.9628864398325021</v>
      </c>
    </row>
    <row r="91" spans="1:6" x14ac:dyDescent="0.25">
      <c r="A91">
        <f t="shared" si="5"/>
        <v>445</v>
      </c>
      <c r="B91">
        <f t="shared" si="3"/>
        <v>74.67</v>
      </c>
      <c r="C91">
        <v>76</v>
      </c>
      <c r="D91">
        <v>77</v>
      </c>
      <c r="E91">
        <v>71</v>
      </c>
      <c r="F91">
        <f t="shared" si="4"/>
        <v>3.214550253664318</v>
      </c>
    </row>
    <row r="92" spans="1:6" x14ac:dyDescent="0.25">
      <c r="A92">
        <f t="shared" si="5"/>
        <v>450</v>
      </c>
      <c r="B92">
        <f t="shared" si="3"/>
        <v>61.67</v>
      </c>
      <c r="C92">
        <v>66</v>
      </c>
      <c r="D92">
        <v>57</v>
      </c>
      <c r="E92">
        <v>62</v>
      </c>
      <c r="F92">
        <f t="shared" si="4"/>
        <v>4.5092497528228943</v>
      </c>
    </row>
    <row r="93" spans="1:6" x14ac:dyDescent="0.25">
      <c r="A93">
        <f t="shared" si="5"/>
        <v>455</v>
      </c>
      <c r="B93">
        <f t="shared" si="3"/>
        <v>44</v>
      </c>
      <c r="C93">
        <v>42</v>
      </c>
      <c r="D93">
        <v>49</v>
      </c>
      <c r="E93">
        <v>41</v>
      </c>
      <c r="F93">
        <f t="shared" si="4"/>
        <v>4.358898943540674</v>
      </c>
    </row>
    <row r="94" spans="1:6" x14ac:dyDescent="0.25">
      <c r="A94">
        <f t="shared" si="5"/>
        <v>460</v>
      </c>
      <c r="B94">
        <f t="shared" si="3"/>
        <v>52</v>
      </c>
      <c r="C94">
        <v>54</v>
      </c>
      <c r="D94">
        <v>47</v>
      </c>
      <c r="E94">
        <v>55</v>
      </c>
      <c r="F94">
        <f t="shared" si="4"/>
        <v>4.358898943540674</v>
      </c>
    </row>
    <row r="95" spans="1:6" x14ac:dyDescent="0.25">
      <c r="A95">
        <f t="shared" si="5"/>
        <v>465</v>
      </c>
      <c r="B95">
        <f t="shared" si="3"/>
        <v>54.67</v>
      </c>
      <c r="C95">
        <v>56</v>
      </c>
      <c r="D95">
        <v>55</v>
      </c>
      <c r="E95">
        <v>53</v>
      </c>
      <c r="F95">
        <f t="shared" si="4"/>
        <v>1.5275252316519465</v>
      </c>
    </row>
    <row r="96" spans="1:6" x14ac:dyDescent="0.25">
      <c r="A96">
        <f t="shared" si="5"/>
        <v>470</v>
      </c>
      <c r="B96">
        <f t="shared" si="3"/>
        <v>84.33</v>
      </c>
      <c r="C96">
        <v>79</v>
      </c>
      <c r="D96">
        <v>81</v>
      </c>
      <c r="E96">
        <v>93</v>
      </c>
      <c r="F96">
        <f t="shared" si="4"/>
        <v>7.5718777944003648</v>
      </c>
    </row>
    <row r="97" spans="1:6" x14ac:dyDescent="0.25">
      <c r="A97">
        <f t="shared" si="5"/>
        <v>475</v>
      </c>
      <c r="B97">
        <f t="shared" si="3"/>
        <v>96.33</v>
      </c>
      <c r="C97">
        <v>93</v>
      </c>
      <c r="D97">
        <v>100</v>
      </c>
      <c r="E97">
        <v>96</v>
      </c>
      <c r="F97">
        <f t="shared" si="4"/>
        <v>3.5118845842842461</v>
      </c>
    </row>
    <row r="98" spans="1:6" x14ac:dyDescent="0.25">
      <c r="A98">
        <f t="shared" si="5"/>
        <v>480</v>
      </c>
      <c r="B98">
        <f t="shared" si="3"/>
        <v>94.33</v>
      </c>
      <c r="C98">
        <v>88</v>
      </c>
      <c r="D98">
        <v>98</v>
      </c>
      <c r="E98">
        <v>97</v>
      </c>
      <c r="F98">
        <f t="shared" si="4"/>
        <v>5.5075705472861021</v>
      </c>
    </row>
    <row r="99" spans="1:6" x14ac:dyDescent="0.25">
      <c r="A99">
        <f t="shared" si="5"/>
        <v>485</v>
      </c>
      <c r="B99">
        <f t="shared" si="3"/>
        <v>98.33</v>
      </c>
      <c r="C99">
        <v>98</v>
      </c>
      <c r="D99">
        <v>105</v>
      </c>
      <c r="E99">
        <v>92</v>
      </c>
      <c r="F99">
        <f t="shared" si="4"/>
        <v>6.5064070986477116</v>
      </c>
    </row>
    <row r="100" spans="1:6" x14ac:dyDescent="0.25">
      <c r="A100">
        <f t="shared" si="5"/>
        <v>490</v>
      </c>
      <c r="B100">
        <f t="shared" si="3"/>
        <v>89.33</v>
      </c>
      <c r="C100">
        <v>84</v>
      </c>
      <c r="D100">
        <v>97</v>
      </c>
      <c r="E100">
        <v>87</v>
      </c>
      <c r="F100">
        <f t="shared" si="4"/>
        <v>6.8068592855540455</v>
      </c>
    </row>
    <row r="101" spans="1:6" x14ac:dyDescent="0.25">
      <c r="A101">
        <f t="shared" si="5"/>
        <v>495</v>
      </c>
      <c r="B101">
        <f t="shared" si="3"/>
        <v>81.33</v>
      </c>
      <c r="C101">
        <v>86</v>
      </c>
      <c r="D101">
        <v>84</v>
      </c>
      <c r="E101">
        <v>74</v>
      </c>
      <c r="F101">
        <f t="shared" si="4"/>
        <v>6.429100507328636</v>
      </c>
    </row>
    <row r="102" spans="1:6" x14ac:dyDescent="0.25">
      <c r="A102">
        <f t="shared" si="5"/>
        <v>500</v>
      </c>
      <c r="B102">
        <f t="shared" si="3"/>
        <v>67.33</v>
      </c>
      <c r="C102">
        <v>63</v>
      </c>
      <c r="D102">
        <v>59</v>
      </c>
      <c r="E102">
        <v>80</v>
      </c>
      <c r="F102">
        <f t="shared" si="4"/>
        <v>11.150485789118473</v>
      </c>
    </row>
    <row r="103" spans="1:6" x14ac:dyDescent="0.25">
      <c r="A103">
        <f t="shared" si="5"/>
        <v>505</v>
      </c>
      <c r="B103">
        <f t="shared" si="3"/>
        <v>46</v>
      </c>
      <c r="C103">
        <v>46</v>
      </c>
      <c r="D103">
        <v>41</v>
      </c>
      <c r="E103">
        <v>51</v>
      </c>
      <c r="F103">
        <f t="shared" si="4"/>
        <v>5</v>
      </c>
    </row>
    <row r="104" spans="1:6" x14ac:dyDescent="0.25">
      <c r="A104">
        <f t="shared" si="5"/>
        <v>510</v>
      </c>
      <c r="B104">
        <f t="shared" si="3"/>
        <v>48.67</v>
      </c>
      <c r="C104">
        <v>49</v>
      </c>
      <c r="D104">
        <v>46</v>
      </c>
      <c r="E104">
        <v>51</v>
      </c>
      <c r="F104">
        <f t="shared" si="4"/>
        <v>2.5166114784235831</v>
      </c>
    </row>
    <row r="105" spans="1:6" x14ac:dyDescent="0.25">
      <c r="A105">
        <f t="shared" si="5"/>
        <v>515</v>
      </c>
      <c r="B105">
        <f t="shared" si="3"/>
        <v>45</v>
      </c>
      <c r="C105">
        <v>42</v>
      </c>
      <c r="D105">
        <v>50</v>
      </c>
      <c r="E105">
        <v>43</v>
      </c>
      <c r="F105">
        <f t="shared" si="4"/>
        <v>4.358898943540674</v>
      </c>
    </row>
    <row r="106" spans="1:6" x14ac:dyDescent="0.25">
      <c r="A106">
        <f t="shared" si="5"/>
        <v>520</v>
      </c>
      <c r="B106">
        <f t="shared" si="3"/>
        <v>49.67</v>
      </c>
      <c r="C106">
        <v>50</v>
      </c>
      <c r="D106">
        <v>49</v>
      </c>
      <c r="E106">
        <v>50</v>
      </c>
      <c r="F106">
        <f t="shared" si="4"/>
        <v>0.57735026918962584</v>
      </c>
    </row>
    <row r="107" spans="1:6" x14ac:dyDescent="0.25">
      <c r="A107">
        <f t="shared" si="5"/>
        <v>525</v>
      </c>
      <c r="B107">
        <f t="shared" si="3"/>
        <v>48.67</v>
      </c>
      <c r="C107">
        <v>52</v>
      </c>
      <c r="D107">
        <v>45</v>
      </c>
      <c r="E107">
        <v>49</v>
      </c>
      <c r="F107">
        <f t="shared" si="4"/>
        <v>3.5118845842842465</v>
      </c>
    </row>
    <row r="108" spans="1:6" x14ac:dyDescent="0.25">
      <c r="A108">
        <f t="shared" si="5"/>
        <v>530</v>
      </c>
      <c r="B108">
        <f t="shared" si="3"/>
        <v>54.33</v>
      </c>
      <c r="C108">
        <v>47</v>
      </c>
      <c r="D108">
        <v>60</v>
      </c>
      <c r="E108">
        <v>56</v>
      </c>
      <c r="F108">
        <f t="shared" si="4"/>
        <v>6.6583281184793934</v>
      </c>
    </row>
    <row r="109" spans="1:6" x14ac:dyDescent="0.25">
      <c r="A109">
        <f t="shared" si="5"/>
        <v>535</v>
      </c>
      <c r="B109">
        <f t="shared" si="3"/>
        <v>69.33</v>
      </c>
      <c r="C109">
        <v>67</v>
      </c>
      <c r="D109">
        <v>73</v>
      </c>
      <c r="E109">
        <v>68</v>
      </c>
      <c r="F109">
        <f t="shared" si="4"/>
        <v>3.214550253664318</v>
      </c>
    </row>
    <row r="110" spans="1:6" x14ac:dyDescent="0.25">
      <c r="A110">
        <f t="shared" si="5"/>
        <v>540</v>
      </c>
      <c r="B110">
        <f t="shared" si="3"/>
        <v>71.33</v>
      </c>
      <c r="C110">
        <v>69</v>
      </c>
      <c r="D110">
        <v>73</v>
      </c>
      <c r="E110">
        <v>72</v>
      </c>
      <c r="F110">
        <f t="shared" si="4"/>
        <v>2.0816659994661326</v>
      </c>
    </row>
    <row r="111" spans="1:6" x14ac:dyDescent="0.25">
      <c r="A111">
        <f t="shared" si="5"/>
        <v>545</v>
      </c>
      <c r="B111">
        <f t="shared" si="3"/>
        <v>76</v>
      </c>
      <c r="C111">
        <v>70</v>
      </c>
      <c r="D111">
        <v>77</v>
      </c>
      <c r="E111">
        <v>81</v>
      </c>
      <c r="F111">
        <f t="shared" si="4"/>
        <v>5.5677643628300215</v>
      </c>
    </row>
    <row r="112" spans="1:6" x14ac:dyDescent="0.25">
      <c r="A112">
        <f t="shared" si="5"/>
        <v>550</v>
      </c>
      <c r="B112">
        <f t="shared" si="3"/>
        <v>80.33</v>
      </c>
      <c r="C112">
        <v>81</v>
      </c>
      <c r="D112">
        <v>82</v>
      </c>
      <c r="E112">
        <v>78</v>
      </c>
      <c r="F112">
        <f t="shared" si="4"/>
        <v>2.0816659994661331</v>
      </c>
    </row>
    <row r="113" spans="1:6" x14ac:dyDescent="0.25">
      <c r="A113">
        <f t="shared" si="5"/>
        <v>555</v>
      </c>
      <c r="B113">
        <f t="shared" si="3"/>
        <v>82.33</v>
      </c>
      <c r="C113">
        <v>71</v>
      </c>
      <c r="D113">
        <v>80</v>
      </c>
      <c r="E113">
        <v>96</v>
      </c>
      <c r="F113">
        <f t="shared" si="4"/>
        <v>12.662279942148411</v>
      </c>
    </row>
    <row r="114" spans="1:6" x14ac:dyDescent="0.25">
      <c r="A114">
        <f t="shared" si="5"/>
        <v>560</v>
      </c>
      <c r="B114">
        <f t="shared" si="3"/>
        <v>72.67</v>
      </c>
      <c r="C114">
        <v>79</v>
      </c>
      <c r="D114">
        <v>70</v>
      </c>
      <c r="E114">
        <v>69</v>
      </c>
      <c r="F114">
        <f t="shared" si="4"/>
        <v>5.5075705472861021</v>
      </c>
    </row>
    <row r="115" spans="1:6" x14ac:dyDescent="0.25">
      <c r="A115">
        <f t="shared" si="5"/>
        <v>565</v>
      </c>
      <c r="B115">
        <f t="shared" si="3"/>
        <v>54</v>
      </c>
      <c r="C115">
        <v>51</v>
      </c>
      <c r="D115">
        <v>53</v>
      </c>
      <c r="E115">
        <v>58</v>
      </c>
      <c r="F115">
        <f t="shared" si="4"/>
        <v>3.6055512754639891</v>
      </c>
    </row>
    <row r="116" spans="1:6" x14ac:dyDescent="0.25">
      <c r="A116">
        <f t="shared" si="5"/>
        <v>570</v>
      </c>
      <c r="B116">
        <f t="shared" si="3"/>
        <v>44.67</v>
      </c>
      <c r="C116">
        <v>49</v>
      </c>
      <c r="D116">
        <v>46</v>
      </c>
      <c r="E116">
        <v>39</v>
      </c>
      <c r="F116">
        <f t="shared" si="4"/>
        <v>5.1316014394468841</v>
      </c>
    </row>
    <row r="117" spans="1:6" x14ac:dyDescent="0.25">
      <c r="A117">
        <f t="shared" si="5"/>
        <v>575</v>
      </c>
      <c r="B117">
        <f t="shared" si="3"/>
        <v>39.33</v>
      </c>
      <c r="C117">
        <v>40</v>
      </c>
      <c r="D117">
        <v>45</v>
      </c>
      <c r="E117">
        <v>33</v>
      </c>
      <c r="F117">
        <f t="shared" si="4"/>
        <v>6.0277137733417208</v>
      </c>
    </row>
    <row r="118" spans="1:6" x14ac:dyDescent="0.25">
      <c r="A118">
        <f t="shared" si="5"/>
        <v>580</v>
      </c>
      <c r="B118">
        <f t="shared" si="3"/>
        <v>40</v>
      </c>
      <c r="C118">
        <v>45</v>
      </c>
      <c r="D118">
        <v>37</v>
      </c>
      <c r="E118">
        <v>38</v>
      </c>
      <c r="F118">
        <f t="shared" si="4"/>
        <v>4.358898943540674</v>
      </c>
    </row>
    <row r="119" spans="1:6" x14ac:dyDescent="0.25">
      <c r="A119">
        <f t="shared" si="5"/>
        <v>585</v>
      </c>
      <c r="B119">
        <f t="shared" si="3"/>
        <v>51.33</v>
      </c>
      <c r="C119">
        <v>52</v>
      </c>
      <c r="D119">
        <v>42</v>
      </c>
      <c r="E119">
        <v>60</v>
      </c>
      <c r="F119">
        <f t="shared" si="4"/>
        <v>9.0184995056457975</v>
      </c>
    </row>
    <row r="120" spans="1:6" x14ac:dyDescent="0.25">
      <c r="A120">
        <f t="shared" si="5"/>
        <v>590</v>
      </c>
      <c r="B120">
        <f t="shared" si="3"/>
        <v>52.33</v>
      </c>
      <c r="C120">
        <v>45</v>
      </c>
      <c r="D120">
        <v>51</v>
      </c>
      <c r="E120">
        <v>61</v>
      </c>
      <c r="F120">
        <f t="shared" si="4"/>
        <v>8.0829037686547416</v>
      </c>
    </row>
    <row r="121" spans="1:6" x14ac:dyDescent="0.25">
      <c r="A121">
        <f t="shared" si="5"/>
        <v>595</v>
      </c>
      <c r="B121">
        <f t="shared" si="3"/>
        <v>63</v>
      </c>
      <c r="C121">
        <v>60</v>
      </c>
      <c r="D121">
        <v>63</v>
      </c>
      <c r="E121">
        <v>66</v>
      </c>
      <c r="F121">
        <f t="shared" si="4"/>
        <v>3</v>
      </c>
    </row>
    <row r="122" spans="1:6" x14ac:dyDescent="0.25">
      <c r="A122">
        <f t="shared" si="5"/>
        <v>600</v>
      </c>
      <c r="B122">
        <f t="shared" si="3"/>
        <v>56.33</v>
      </c>
      <c r="C122">
        <v>56</v>
      </c>
      <c r="D122">
        <v>59</v>
      </c>
      <c r="E122">
        <v>54</v>
      </c>
      <c r="F122">
        <f t="shared" si="4"/>
        <v>2.5166114784235831</v>
      </c>
    </row>
    <row r="123" spans="1:6" x14ac:dyDescent="0.25">
      <c r="A123">
        <f t="shared" si="5"/>
        <v>605</v>
      </c>
      <c r="B123">
        <f t="shared" si="3"/>
        <v>53.67</v>
      </c>
      <c r="C123">
        <v>53</v>
      </c>
      <c r="D123">
        <v>57</v>
      </c>
      <c r="E123">
        <v>51</v>
      </c>
      <c r="F123">
        <f t="shared" si="4"/>
        <v>3.0550504633038931</v>
      </c>
    </row>
    <row r="124" spans="1:6" x14ac:dyDescent="0.25">
      <c r="A124">
        <f t="shared" si="5"/>
        <v>610</v>
      </c>
      <c r="B124">
        <f t="shared" si="3"/>
        <v>48.33</v>
      </c>
      <c r="C124">
        <v>50</v>
      </c>
      <c r="D124">
        <v>47</v>
      </c>
      <c r="E124">
        <v>48</v>
      </c>
      <c r="F124">
        <f t="shared" si="4"/>
        <v>1.5275252316519465</v>
      </c>
    </row>
    <row r="125" spans="1:6" x14ac:dyDescent="0.25">
      <c r="A125">
        <f t="shared" si="5"/>
        <v>615</v>
      </c>
      <c r="B125">
        <f t="shared" si="3"/>
        <v>42</v>
      </c>
      <c r="C125">
        <v>41</v>
      </c>
      <c r="D125">
        <v>43</v>
      </c>
      <c r="E125">
        <v>42</v>
      </c>
      <c r="F125">
        <f t="shared" si="4"/>
        <v>1</v>
      </c>
    </row>
    <row r="126" spans="1:6" x14ac:dyDescent="0.25">
      <c r="A126">
        <f t="shared" si="5"/>
        <v>620</v>
      </c>
      <c r="B126">
        <f t="shared" si="3"/>
        <v>35</v>
      </c>
      <c r="C126">
        <v>35</v>
      </c>
      <c r="D126">
        <v>34</v>
      </c>
      <c r="E126">
        <v>36</v>
      </c>
      <c r="F126">
        <f t="shared" si="4"/>
        <v>1</v>
      </c>
    </row>
    <row r="127" spans="1:6" x14ac:dyDescent="0.25">
      <c r="A127">
        <f t="shared" si="5"/>
        <v>625</v>
      </c>
      <c r="B127">
        <f t="shared" si="3"/>
        <v>37</v>
      </c>
      <c r="C127">
        <v>39</v>
      </c>
      <c r="D127">
        <v>41</v>
      </c>
      <c r="E127">
        <v>31</v>
      </c>
      <c r="F127">
        <f t="shared" si="4"/>
        <v>5.2915026221291814</v>
      </c>
    </row>
    <row r="128" spans="1:6" x14ac:dyDescent="0.25">
      <c r="A128">
        <f t="shared" si="5"/>
        <v>630</v>
      </c>
      <c r="B128">
        <f t="shared" si="3"/>
        <v>30.67</v>
      </c>
      <c r="C128">
        <v>29</v>
      </c>
      <c r="D128">
        <v>27</v>
      </c>
      <c r="E128">
        <v>36</v>
      </c>
      <c r="F128">
        <f t="shared" si="4"/>
        <v>4.7258156262526008</v>
      </c>
    </row>
    <row r="129" spans="1:6" x14ac:dyDescent="0.25">
      <c r="A129">
        <f t="shared" si="5"/>
        <v>635</v>
      </c>
      <c r="B129">
        <f t="shared" si="3"/>
        <v>34.33</v>
      </c>
      <c r="C129">
        <v>34</v>
      </c>
      <c r="D129">
        <v>37</v>
      </c>
      <c r="E129">
        <v>32</v>
      </c>
      <c r="F129">
        <f t="shared" si="4"/>
        <v>2.5166114784235831</v>
      </c>
    </row>
    <row r="130" spans="1:6" x14ac:dyDescent="0.25">
      <c r="A130">
        <f t="shared" si="5"/>
        <v>640</v>
      </c>
      <c r="B130">
        <f t="shared" si="3"/>
        <v>39.33</v>
      </c>
      <c r="C130">
        <v>39</v>
      </c>
      <c r="D130">
        <v>38</v>
      </c>
      <c r="E130">
        <v>41</v>
      </c>
      <c r="F130">
        <f t="shared" si="4"/>
        <v>1.5275252316519465</v>
      </c>
    </row>
    <row r="131" spans="1:6" x14ac:dyDescent="0.25">
      <c r="A131">
        <f t="shared" si="5"/>
        <v>645</v>
      </c>
      <c r="B131">
        <f t="shared" ref="B131:B174" si="6">ROUND(AVERAGE(C131:E131),2)</f>
        <v>37.33</v>
      </c>
      <c r="C131">
        <v>36</v>
      </c>
      <c r="D131">
        <v>37</v>
      </c>
      <c r="E131">
        <v>39</v>
      </c>
      <c r="F131">
        <f t="shared" ref="F131:F174" si="7">_xlfn.STDEV.S(C131:E131)</f>
        <v>1.5275252316519465</v>
      </c>
    </row>
    <row r="132" spans="1:6" x14ac:dyDescent="0.25">
      <c r="A132">
        <f t="shared" ref="A132:A174" si="8">A131+5</f>
        <v>650</v>
      </c>
      <c r="B132">
        <f t="shared" si="6"/>
        <v>39.33</v>
      </c>
      <c r="C132">
        <v>39</v>
      </c>
      <c r="D132">
        <v>36</v>
      </c>
      <c r="E132">
        <v>43</v>
      </c>
      <c r="F132">
        <f t="shared" si="7"/>
        <v>3.5118845842842461</v>
      </c>
    </row>
    <row r="133" spans="1:6" x14ac:dyDescent="0.25">
      <c r="A133">
        <f t="shared" si="8"/>
        <v>655</v>
      </c>
      <c r="B133">
        <f t="shared" si="6"/>
        <v>41</v>
      </c>
      <c r="C133">
        <v>41</v>
      </c>
      <c r="D133">
        <v>36</v>
      </c>
      <c r="E133">
        <v>46</v>
      </c>
      <c r="F133">
        <f t="shared" si="7"/>
        <v>5</v>
      </c>
    </row>
    <row r="134" spans="1:6" x14ac:dyDescent="0.25">
      <c r="A134">
        <f t="shared" si="8"/>
        <v>660</v>
      </c>
      <c r="B134">
        <f t="shared" si="6"/>
        <v>39.67</v>
      </c>
      <c r="C134">
        <v>38</v>
      </c>
      <c r="D134">
        <v>41</v>
      </c>
      <c r="E134">
        <v>40</v>
      </c>
      <c r="F134">
        <f t="shared" si="7"/>
        <v>1.5275252316519465</v>
      </c>
    </row>
    <row r="135" spans="1:6" x14ac:dyDescent="0.25">
      <c r="A135">
        <f t="shared" si="8"/>
        <v>665</v>
      </c>
      <c r="B135">
        <f t="shared" si="6"/>
        <v>34.67</v>
      </c>
      <c r="C135">
        <v>34</v>
      </c>
      <c r="D135">
        <v>31</v>
      </c>
      <c r="E135">
        <v>39</v>
      </c>
      <c r="F135">
        <f t="shared" si="7"/>
        <v>4.0414518843273806</v>
      </c>
    </row>
    <row r="136" spans="1:6" x14ac:dyDescent="0.25">
      <c r="A136">
        <f t="shared" si="8"/>
        <v>670</v>
      </c>
      <c r="B136">
        <f t="shared" si="6"/>
        <v>31</v>
      </c>
      <c r="C136">
        <v>30</v>
      </c>
      <c r="D136">
        <v>32</v>
      </c>
      <c r="E136">
        <v>31</v>
      </c>
      <c r="F136">
        <f t="shared" si="7"/>
        <v>1</v>
      </c>
    </row>
    <row r="137" spans="1:6" x14ac:dyDescent="0.25">
      <c r="A137">
        <f t="shared" si="8"/>
        <v>675</v>
      </c>
      <c r="B137">
        <f t="shared" si="6"/>
        <v>29.33</v>
      </c>
      <c r="C137">
        <v>32</v>
      </c>
      <c r="D137">
        <v>24</v>
      </c>
      <c r="E137">
        <v>32</v>
      </c>
      <c r="F137">
        <f t="shared" si="7"/>
        <v>4.6188021535169979</v>
      </c>
    </row>
    <row r="138" spans="1:6" x14ac:dyDescent="0.25">
      <c r="A138">
        <f t="shared" si="8"/>
        <v>680</v>
      </c>
      <c r="B138">
        <f t="shared" si="6"/>
        <v>32.33</v>
      </c>
      <c r="C138">
        <v>29</v>
      </c>
      <c r="D138">
        <v>37</v>
      </c>
      <c r="E138">
        <v>31</v>
      </c>
      <c r="F138">
        <f t="shared" si="7"/>
        <v>4.1633319989322564</v>
      </c>
    </row>
    <row r="139" spans="1:6" x14ac:dyDescent="0.25">
      <c r="A139">
        <f t="shared" si="8"/>
        <v>685</v>
      </c>
      <c r="B139">
        <f t="shared" si="6"/>
        <v>28</v>
      </c>
      <c r="C139">
        <v>25</v>
      </c>
      <c r="D139">
        <v>29</v>
      </c>
      <c r="E139">
        <v>30</v>
      </c>
      <c r="F139">
        <f t="shared" si="7"/>
        <v>2.6457513110645907</v>
      </c>
    </row>
    <row r="140" spans="1:6" x14ac:dyDescent="0.25">
      <c r="A140">
        <f t="shared" si="8"/>
        <v>690</v>
      </c>
      <c r="B140">
        <f t="shared" si="6"/>
        <v>28</v>
      </c>
      <c r="C140">
        <v>31</v>
      </c>
      <c r="D140">
        <v>30</v>
      </c>
      <c r="E140">
        <v>23</v>
      </c>
      <c r="F140">
        <f t="shared" si="7"/>
        <v>4.358898943540674</v>
      </c>
    </row>
    <row r="141" spans="1:6" x14ac:dyDescent="0.25">
      <c r="A141">
        <f t="shared" si="8"/>
        <v>695</v>
      </c>
      <c r="B141">
        <f t="shared" si="6"/>
        <v>26</v>
      </c>
      <c r="C141">
        <v>29</v>
      </c>
      <c r="D141">
        <v>24</v>
      </c>
      <c r="E141">
        <v>25</v>
      </c>
      <c r="F141">
        <f t="shared" si="7"/>
        <v>2.6457513110645907</v>
      </c>
    </row>
    <row r="142" spans="1:6" x14ac:dyDescent="0.25">
      <c r="A142">
        <f t="shared" si="8"/>
        <v>700</v>
      </c>
      <c r="B142">
        <f t="shared" si="6"/>
        <v>26.67</v>
      </c>
      <c r="C142">
        <v>27</v>
      </c>
      <c r="D142">
        <v>26</v>
      </c>
      <c r="E142">
        <v>27</v>
      </c>
      <c r="F142">
        <f t="shared" si="7"/>
        <v>0.57735026918962584</v>
      </c>
    </row>
    <row r="143" spans="1:6" x14ac:dyDescent="0.25">
      <c r="A143">
        <f t="shared" si="8"/>
        <v>705</v>
      </c>
      <c r="B143">
        <f t="shared" si="6"/>
        <v>27</v>
      </c>
      <c r="C143">
        <v>26</v>
      </c>
      <c r="D143">
        <v>27</v>
      </c>
      <c r="E143">
        <v>28</v>
      </c>
      <c r="F143">
        <f t="shared" si="7"/>
        <v>1</v>
      </c>
    </row>
    <row r="144" spans="1:6" x14ac:dyDescent="0.25">
      <c r="A144">
        <f t="shared" si="8"/>
        <v>710</v>
      </c>
      <c r="B144">
        <f t="shared" si="6"/>
        <v>26.33</v>
      </c>
      <c r="C144">
        <v>26</v>
      </c>
      <c r="D144">
        <v>24</v>
      </c>
      <c r="E144">
        <v>29</v>
      </c>
      <c r="F144">
        <f t="shared" si="7"/>
        <v>2.5166114784235836</v>
      </c>
    </row>
    <row r="145" spans="1:6" x14ac:dyDescent="0.25">
      <c r="A145">
        <f t="shared" si="8"/>
        <v>715</v>
      </c>
      <c r="B145">
        <f t="shared" si="6"/>
        <v>22</v>
      </c>
      <c r="C145">
        <v>23</v>
      </c>
      <c r="D145">
        <v>22</v>
      </c>
      <c r="E145">
        <v>21</v>
      </c>
      <c r="F145">
        <f t="shared" si="7"/>
        <v>1</v>
      </c>
    </row>
    <row r="146" spans="1:6" x14ac:dyDescent="0.25">
      <c r="A146">
        <f t="shared" si="8"/>
        <v>720</v>
      </c>
      <c r="B146">
        <f t="shared" si="6"/>
        <v>25.33</v>
      </c>
      <c r="C146">
        <v>25</v>
      </c>
      <c r="D146">
        <v>27</v>
      </c>
      <c r="E146">
        <v>24</v>
      </c>
      <c r="F146">
        <f t="shared" si="7"/>
        <v>1.5275252316519465</v>
      </c>
    </row>
    <row r="147" spans="1:6" x14ac:dyDescent="0.25">
      <c r="A147">
        <f t="shared" si="8"/>
        <v>725</v>
      </c>
      <c r="B147">
        <f t="shared" si="6"/>
        <v>23.33</v>
      </c>
      <c r="C147">
        <v>22</v>
      </c>
      <c r="D147">
        <v>25</v>
      </c>
      <c r="E147">
        <v>23</v>
      </c>
      <c r="F147">
        <f t="shared" si="7"/>
        <v>1.5275252316519468</v>
      </c>
    </row>
    <row r="148" spans="1:6" x14ac:dyDescent="0.25">
      <c r="A148">
        <f t="shared" si="8"/>
        <v>730</v>
      </c>
      <c r="B148">
        <f t="shared" si="6"/>
        <v>26.67</v>
      </c>
      <c r="C148">
        <v>29</v>
      </c>
      <c r="D148">
        <v>27</v>
      </c>
      <c r="E148">
        <v>24</v>
      </c>
      <c r="F148">
        <f t="shared" si="7"/>
        <v>2.5166114784235836</v>
      </c>
    </row>
    <row r="149" spans="1:6" x14ac:dyDescent="0.25">
      <c r="A149">
        <f t="shared" si="8"/>
        <v>735</v>
      </c>
      <c r="B149">
        <f t="shared" si="6"/>
        <v>23</v>
      </c>
      <c r="C149">
        <v>21</v>
      </c>
      <c r="D149">
        <v>25</v>
      </c>
      <c r="E149">
        <v>23</v>
      </c>
      <c r="F149">
        <f t="shared" si="7"/>
        <v>2</v>
      </c>
    </row>
    <row r="150" spans="1:6" x14ac:dyDescent="0.25">
      <c r="A150">
        <f t="shared" si="8"/>
        <v>740</v>
      </c>
      <c r="B150">
        <f t="shared" si="6"/>
        <v>21.67</v>
      </c>
      <c r="C150">
        <v>20</v>
      </c>
      <c r="D150">
        <v>24</v>
      </c>
      <c r="E150">
        <v>21</v>
      </c>
      <c r="F150">
        <f t="shared" si="7"/>
        <v>2.0816659994661331</v>
      </c>
    </row>
    <row r="151" spans="1:6" x14ac:dyDescent="0.25">
      <c r="A151">
        <f t="shared" si="8"/>
        <v>745</v>
      </c>
      <c r="B151">
        <f t="shared" si="6"/>
        <v>18.670000000000002</v>
      </c>
      <c r="C151">
        <v>19</v>
      </c>
      <c r="D151">
        <v>18</v>
      </c>
      <c r="E151">
        <v>19</v>
      </c>
      <c r="F151">
        <f t="shared" si="7"/>
        <v>0.57735026918962584</v>
      </c>
    </row>
    <row r="152" spans="1:6" x14ac:dyDescent="0.25">
      <c r="A152">
        <f t="shared" si="8"/>
        <v>750</v>
      </c>
      <c r="B152">
        <f t="shared" si="6"/>
        <v>21</v>
      </c>
      <c r="C152">
        <v>24</v>
      </c>
      <c r="D152">
        <v>19</v>
      </c>
      <c r="E152">
        <v>20</v>
      </c>
      <c r="F152">
        <f t="shared" si="7"/>
        <v>2.6457513110645907</v>
      </c>
    </row>
    <row r="153" spans="1:6" x14ac:dyDescent="0.25">
      <c r="A153">
        <f t="shared" si="8"/>
        <v>755</v>
      </c>
      <c r="B153">
        <f t="shared" si="6"/>
        <v>22.67</v>
      </c>
      <c r="C153">
        <v>22</v>
      </c>
      <c r="D153">
        <v>21</v>
      </c>
      <c r="E153">
        <v>25</v>
      </c>
      <c r="F153">
        <f t="shared" si="7"/>
        <v>2.0816659994661331</v>
      </c>
    </row>
    <row r="154" spans="1:6" x14ac:dyDescent="0.25">
      <c r="A154">
        <f t="shared" si="8"/>
        <v>760</v>
      </c>
      <c r="B154">
        <f t="shared" si="6"/>
        <v>21</v>
      </c>
      <c r="C154">
        <v>20</v>
      </c>
      <c r="D154">
        <v>22</v>
      </c>
      <c r="E154">
        <v>21</v>
      </c>
      <c r="F154">
        <f t="shared" si="7"/>
        <v>1</v>
      </c>
    </row>
    <row r="155" spans="1:6" x14ac:dyDescent="0.25">
      <c r="A155">
        <f t="shared" si="8"/>
        <v>765</v>
      </c>
      <c r="B155">
        <f t="shared" si="6"/>
        <v>18</v>
      </c>
      <c r="C155">
        <v>15</v>
      </c>
      <c r="D155">
        <v>18</v>
      </c>
      <c r="E155">
        <v>21</v>
      </c>
      <c r="F155">
        <f t="shared" si="7"/>
        <v>3</v>
      </c>
    </row>
    <row r="156" spans="1:6" x14ac:dyDescent="0.25">
      <c r="A156">
        <f t="shared" si="8"/>
        <v>770</v>
      </c>
      <c r="B156">
        <f t="shared" si="6"/>
        <v>17</v>
      </c>
      <c r="C156">
        <v>17</v>
      </c>
      <c r="D156">
        <v>15</v>
      </c>
      <c r="E156">
        <v>19</v>
      </c>
      <c r="F156">
        <f t="shared" si="7"/>
        <v>2</v>
      </c>
    </row>
    <row r="157" spans="1:6" x14ac:dyDescent="0.25">
      <c r="A157">
        <f t="shared" si="8"/>
        <v>775</v>
      </c>
      <c r="B157">
        <f t="shared" si="6"/>
        <v>12.33</v>
      </c>
      <c r="C157">
        <v>15</v>
      </c>
      <c r="D157">
        <v>9</v>
      </c>
      <c r="E157">
        <v>13</v>
      </c>
      <c r="F157">
        <f t="shared" si="7"/>
        <v>3.0550504633038948</v>
      </c>
    </row>
    <row r="158" spans="1:6" x14ac:dyDescent="0.25">
      <c r="A158">
        <f t="shared" si="8"/>
        <v>780</v>
      </c>
      <c r="B158">
        <f t="shared" si="6"/>
        <v>18.329999999999998</v>
      </c>
      <c r="C158">
        <v>16</v>
      </c>
      <c r="D158">
        <v>19</v>
      </c>
      <c r="E158">
        <v>20</v>
      </c>
      <c r="F158">
        <f t="shared" si="7"/>
        <v>2.0816659994661331</v>
      </c>
    </row>
    <row r="159" spans="1:6" x14ac:dyDescent="0.25">
      <c r="A159">
        <f t="shared" si="8"/>
        <v>785</v>
      </c>
      <c r="B159">
        <f t="shared" si="6"/>
        <v>14</v>
      </c>
      <c r="C159">
        <v>11</v>
      </c>
      <c r="D159">
        <v>20</v>
      </c>
      <c r="E159">
        <v>11</v>
      </c>
      <c r="F159">
        <f t="shared" si="7"/>
        <v>5.196152422706632</v>
      </c>
    </row>
    <row r="160" spans="1:6" x14ac:dyDescent="0.25">
      <c r="A160">
        <f t="shared" si="8"/>
        <v>790</v>
      </c>
      <c r="B160">
        <f t="shared" si="6"/>
        <v>16.329999999999998</v>
      </c>
      <c r="C160">
        <v>18</v>
      </c>
      <c r="D160">
        <v>17</v>
      </c>
      <c r="E160">
        <v>14</v>
      </c>
      <c r="F160">
        <f t="shared" si="7"/>
        <v>2.0816659994661282</v>
      </c>
    </row>
    <row r="161" spans="1:6" x14ac:dyDescent="0.25">
      <c r="A161">
        <f t="shared" si="8"/>
        <v>795</v>
      </c>
      <c r="B161">
        <f t="shared" si="6"/>
        <v>15.67</v>
      </c>
      <c r="C161">
        <v>18</v>
      </c>
      <c r="D161">
        <v>15</v>
      </c>
      <c r="E161">
        <v>14</v>
      </c>
      <c r="F161">
        <f t="shared" si="7"/>
        <v>2.0816659994661282</v>
      </c>
    </row>
    <row r="162" spans="1:6" x14ac:dyDescent="0.25">
      <c r="A162">
        <f t="shared" si="8"/>
        <v>800</v>
      </c>
      <c r="B162">
        <f t="shared" si="6"/>
        <v>13.67</v>
      </c>
      <c r="C162">
        <v>11</v>
      </c>
      <c r="D162">
        <v>13</v>
      </c>
      <c r="E162">
        <v>17</v>
      </c>
      <c r="F162">
        <f t="shared" si="7"/>
        <v>3.0550504633038904</v>
      </c>
    </row>
    <row r="163" spans="1:6" x14ac:dyDescent="0.25">
      <c r="A163">
        <f t="shared" si="8"/>
        <v>805</v>
      </c>
      <c r="B163">
        <f t="shared" si="6"/>
        <v>15.67</v>
      </c>
      <c r="C163">
        <v>11</v>
      </c>
      <c r="D163">
        <v>18</v>
      </c>
      <c r="E163">
        <v>18</v>
      </c>
      <c r="F163">
        <f t="shared" si="7"/>
        <v>4.0414518843273779</v>
      </c>
    </row>
    <row r="164" spans="1:6" x14ac:dyDescent="0.25">
      <c r="A164">
        <f t="shared" si="8"/>
        <v>810</v>
      </c>
      <c r="B164">
        <f t="shared" si="6"/>
        <v>12.33</v>
      </c>
      <c r="C164">
        <v>11</v>
      </c>
      <c r="D164">
        <v>15</v>
      </c>
      <c r="E164">
        <v>11</v>
      </c>
      <c r="F164">
        <f t="shared" si="7"/>
        <v>2.3094010767585051</v>
      </c>
    </row>
    <row r="165" spans="1:6" x14ac:dyDescent="0.25">
      <c r="A165">
        <f t="shared" si="8"/>
        <v>815</v>
      </c>
      <c r="B165">
        <f t="shared" si="6"/>
        <v>12</v>
      </c>
      <c r="C165">
        <v>10</v>
      </c>
      <c r="D165">
        <v>12</v>
      </c>
      <c r="E165">
        <v>14</v>
      </c>
      <c r="F165">
        <f t="shared" si="7"/>
        <v>2</v>
      </c>
    </row>
    <row r="166" spans="1:6" x14ac:dyDescent="0.25">
      <c r="A166">
        <f t="shared" si="8"/>
        <v>820</v>
      </c>
      <c r="B166">
        <f t="shared" si="6"/>
        <v>11</v>
      </c>
      <c r="C166">
        <v>10</v>
      </c>
      <c r="D166">
        <v>11</v>
      </c>
      <c r="E166">
        <v>12</v>
      </c>
      <c r="F166">
        <f t="shared" si="7"/>
        <v>1</v>
      </c>
    </row>
    <row r="167" spans="1:6" x14ac:dyDescent="0.25">
      <c r="A167">
        <f t="shared" si="8"/>
        <v>825</v>
      </c>
      <c r="B167">
        <f t="shared" si="6"/>
        <v>12</v>
      </c>
      <c r="C167">
        <v>9</v>
      </c>
      <c r="D167">
        <v>14</v>
      </c>
      <c r="E167">
        <v>13</v>
      </c>
      <c r="F167">
        <f t="shared" si="7"/>
        <v>2.6457513110645907</v>
      </c>
    </row>
    <row r="168" spans="1:6" x14ac:dyDescent="0.25">
      <c r="A168">
        <f t="shared" si="8"/>
        <v>830</v>
      </c>
      <c r="B168">
        <f t="shared" si="6"/>
        <v>11</v>
      </c>
      <c r="C168">
        <v>14</v>
      </c>
      <c r="D168">
        <v>13</v>
      </c>
      <c r="E168">
        <v>6</v>
      </c>
      <c r="F168">
        <f t="shared" si="7"/>
        <v>4.358898943540674</v>
      </c>
    </row>
    <row r="169" spans="1:6" x14ac:dyDescent="0.25">
      <c r="A169">
        <f t="shared" si="8"/>
        <v>835</v>
      </c>
      <c r="B169">
        <f t="shared" si="6"/>
        <v>9.33</v>
      </c>
      <c r="C169">
        <v>9</v>
      </c>
      <c r="D169">
        <v>10</v>
      </c>
      <c r="E169">
        <v>9</v>
      </c>
      <c r="F169">
        <f t="shared" si="7"/>
        <v>0.57735026918962573</v>
      </c>
    </row>
    <row r="170" spans="1:6" x14ac:dyDescent="0.25">
      <c r="A170">
        <f t="shared" si="8"/>
        <v>840</v>
      </c>
      <c r="B170">
        <f t="shared" si="6"/>
        <v>7.33</v>
      </c>
      <c r="C170">
        <v>8</v>
      </c>
      <c r="D170">
        <v>6</v>
      </c>
      <c r="E170">
        <v>8</v>
      </c>
      <c r="F170">
        <f t="shared" si="7"/>
        <v>1.1547005383792495</v>
      </c>
    </row>
    <row r="171" spans="1:6" x14ac:dyDescent="0.25">
      <c r="A171">
        <f t="shared" si="8"/>
        <v>845</v>
      </c>
      <c r="B171">
        <f t="shared" si="6"/>
        <v>7.33</v>
      </c>
      <c r="C171">
        <v>11</v>
      </c>
      <c r="D171">
        <v>6</v>
      </c>
      <c r="E171">
        <v>5</v>
      </c>
      <c r="F171">
        <f t="shared" si="7"/>
        <v>3.2145502536643176</v>
      </c>
    </row>
    <row r="172" spans="1:6" x14ac:dyDescent="0.25">
      <c r="A172">
        <f t="shared" si="8"/>
        <v>850</v>
      </c>
      <c r="B172">
        <f t="shared" si="6"/>
        <v>8</v>
      </c>
      <c r="C172">
        <v>11</v>
      </c>
      <c r="D172">
        <v>6</v>
      </c>
      <c r="E172">
        <v>7</v>
      </c>
      <c r="F172">
        <f t="shared" si="7"/>
        <v>2.6457513110645907</v>
      </c>
    </row>
    <row r="173" spans="1:6" x14ac:dyDescent="0.25">
      <c r="A173">
        <f t="shared" si="8"/>
        <v>855</v>
      </c>
      <c r="B173">
        <f t="shared" si="6"/>
        <v>5.33</v>
      </c>
      <c r="C173">
        <v>7</v>
      </c>
      <c r="D173">
        <v>5</v>
      </c>
      <c r="E173">
        <v>4</v>
      </c>
      <c r="F173">
        <f t="shared" si="7"/>
        <v>1.5275252316519474</v>
      </c>
    </row>
    <row r="174" spans="1:6" x14ac:dyDescent="0.25">
      <c r="A174">
        <f t="shared" si="8"/>
        <v>860</v>
      </c>
      <c r="B174">
        <f t="shared" si="6"/>
        <v>5</v>
      </c>
      <c r="C174">
        <v>5</v>
      </c>
      <c r="D174">
        <v>6</v>
      </c>
      <c r="E174">
        <v>4</v>
      </c>
      <c r="F174">
        <f t="shared" si="7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9AE9-9CED-4B37-AC92-28F53DCE2285}">
  <dimension ref="A1:P80"/>
  <sheetViews>
    <sheetView workbookViewId="0">
      <selection activeCell="F21" sqref="F21"/>
    </sheetView>
  </sheetViews>
  <sheetFormatPr baseColWidth="10" defaultRowHeight="15" x14ac:dyDescent="0.25"/>
  <cols>
    <col min="6" max="6" width="11.7109375" bestFit="1" customWidth="1"/>
  </cols>
  <sheetData>
    <row r="1" spans="1:16" x14ac:dyDescent="0.25">
      <c r="A1" t="s">
        <v>1</v>
      </c>
      <c r="B1" t="s">
        <v>0</v>
      </c>
      <c r="F1" t="s">
        <v>5</v>
      </c>
    </row>
    <row r="2" spans="1:16" x14ac:dyDescent="0.25">
      <c r="A2">
        <v>0</v>
      </c>
      <c r="B2">
        <f>AVERAGE(C2:E2)</f>
        <v>7</v>
      </c>
      <c r="C2">
        <v>7</v>
      </c>
      <c r="D2">
        <v>5</v>
      </c>
      <c r="E2">
        <v>9</v>
      </c>
      <c r="F2">
        <f>_xlfn.STDEV.S(C2:E2)</f>
        <v>2</v>
      </c>
    </row>
    <row r="3" spans="1:16" x14ac:dyDescent="0.25">
      <c r="A3">
        <v>20</v>
      </c>
      <c r="B3">
        <f t="shared" ref="B3:B42" si="0">AVERAGE(C3:E3)</f>
        <v>5.333333333333333</v>
      </c>
      <c r="C3">
        <v>8</v>
      </c>
      <c r="D3">
        <v>3</v>
      </c>
      <c r="E3">
        <v>5</v>
      </c>
      <c r="F3">
        <f t="shared" ref="F3:F42" si="1">_xlfn.STDEV.S(C3:E3)</f>
        <v>2.5166114784235836</v>
      </c>
    </row>
    <row r="4" spans="1:16" x14ac:dyDescent="0.25">
      <c r="A4">
        <v>40</v>
      </c>
      <c r="B4">
        <f t="shared" si="0"/>
        <v>5</v>
      </c>
      <c r="C4">
        <v>5</v>
      </c>
      <c r="D4">
        <v>4</v>
      </c>
      <c r="E4">
        <v>6</v>
      </c>
      <c r="F4">
        <f t="shared" si="1"/>
        <v>1</v>
      </c>
      <c r="P4">
        <f>MAX(E2:E193)</f>
        <v>63</v>
      </c>
    </row>
    <row r="5" spans="1:16" x14ac:dyDescent="0.25">
      <c r="A5">
        <f>A4+20</f>
        <v>60</v>
      </c>
      <c r="B5">
        <f t="shared" si="0"/>
        <v>4.666666666666667</v>
      </c>
      <c r="C5">
        <v>6</v>
      </c>
      <c r="D5">
        <v>4</v>
      </c>
      <c r="E5">
        <v>4</v>
      </c>
      <c r="F5">
        <f t="shared" si="1"/>
        <v>1.1547005383792526</v>
      </c>
    </row>
    <row r="6" spans="1:16" x14ac:dyDescent="0.25">
      <c r="A6">
        <f t="shared" ref="A6:A42" si="2">A5+20</f>
        <v>80</v>
      </c>
      <c r="B6">
        <f t="shared" si="0"/>
        <v>4</v>
      </c>
      <c r="C6">
        <v>5</v>
      </c>
      <c r="D6">
        <v>4</v>
      </c>
      <c r="E6">
        <v>3</v>
      </c>
      <c r="F6">
        <f t="shared" si="1"/>
        <v>1</v>
      </c>
    </row>
    <row r="7" spans="1:16" x14ac:dyDescent="0.25">
      <c r="A7">
        <f t="shared" si="2"/>
        <v>100</v>
      </c>
      <c r="B7">
        <f t="shared" si="0"/>
        <v>6</v>
      </c>
      <c r="C7">
        <v>6</v>
      </c>
      <c r="D7">
        <v>7</v>
      </c>
      <c r="E7">
        <v>5</v>
      </c>
      <c r="F7">
        <f t="shared" si="1"/>
        <v>1</v>
      </c>
    </row>
    <row r="8" spans="1:16" x14ac:dyDescent="0.25">
      <c r="A8">
        <f t="shared" si="2"/>
        <v>120</v>
      </c>
      <c r="B8">
        <f t="shared" si="0"/>
        <v>7</v>
      </c>
      <c r="C8">
        <v>7</v>
      </c>
      <c r="D8">
        <v>8</v>
      </c>
      <c r="E8">
        <v>6</v>
      </c>
      <c r="F8">
        <f t="shared" si="1"/>
        <v>1</v>
      </c>
    </row>
    <row r="9" spans="1:16" x14ac:dyDescent="0.25">
      <c r="A9">
        <f t="shared" si="2"/>
        <v>140</v>
      </c>
      <c r="B9">
        <f t="shared" si="0"/>
        <v>6.666666666666667</v>
      </c>
      <c r="C9">
        <v>6</v>
      </c>
      <c r="D9">
        <v>5</v>
      </c>
      <c r="E9">
        <v>9</v>
      </c>
      <c r="F9">
        <f t="shared" si="1"/>
        <v>2.0816659994661317</v>
      </c>
    </row>
    <row r="10" spans="1:16" x14ac:dyDescent="0.25">
      <c r="A10">
        <f t="shared" si="2"/>
        <v>160</v>
      </c>
      <c r="B10">
        <f t="shared" si="0"/>
        <v>11.666666666666666</v>
      </c>
      <c r="C10">
        <v>9</v>
      </c>
      <c r="D10">
        <v>11</v>
      </c>
      <c r="E10">
        <v>15</v>
      </c>
      <c r="F10">
        <f t="shared" si="1"/>
        <v>3.0550504633038948</v>
      </c>
    </row>
    <row r="11" spans="1:16" x14ac:dyDescent="0.25">
      <c r="A11">
        <f t="shared" si="2"/>
        <v>180</v>
      </c>
      <c r="B11">
        <f t="shared" si="0"/>
        <v>13</v>
      </c>
      <c r="C11">
        <v>16</v>
      </c>
      <c r="D11">
        <v>9</v>
      </c>
      <c r="E11">
        <v>14</v>
      </c>
      <c r="F11">
        <f t="shared" si="1"/>
        <v>3.6055512754639891</v>
      </c>
    </row>
    <row r="12" spans="1:16" x14ac:dyDescent="0.25">
      <c r="A12">
        <f t="shared" si="2"/>
        <v>200</v>
      </c>
      <c r="B12">
        <f t="shared" si="0"/>
        <v>15</v>
      </c>
      <c r="C12">
        <v>16</v>
      </c>
      <c r="D12">
        <v>17</v>
      </c>
      <c r="E12">
        <v>12</v>
      </c>
      <c r="F12">
        <f t="shared" si="1"/>
        <v>2.6457513110645907</v>
      </c>
    </row>
    <row r="13" spans="1:16" x14ac:dyDescent="0.25">
      <c r="A13">
        <f t="shared" si="2"/>
        <v>220</v>
      </c>
      <c r="B13">
        <f t="shared" si="0"/>
        <v>19</v>
      </c>
      <c r="C13">
        <v>17</v>
      </c>
      <c r="D13">
        <v>22</v>
      </c>
      <c r="E13">
        <v>18</v>
      </c>
      <c r="F13">
        <f t="shared" si="1"/>
        <v>2.6457513110645907</v>
      </c>
    </row>
    <row r="14" spans="1:16" x14ac:dyDescent="0.25">
      <c r="A14">
        <f t="shared" si="2"/>
        <v>240</v>
      </c>
      <c r="B14">
        <f t="shared" si="0"/>
        <v>25.333333333333332</v>
      </c>
      <c r="C14">
        <v>24</v>
      </c>
      <c r="D14">
        <v>25</v>
      </c>
      <c r="E14">
        <v>27</v>
      </c>
      <c r="F14">
        <f t="shared" si="1"/>
        <v>1.5275252316519465</v>
      </c>
    </row>
    <row r="15" spans="1:16" x14ac:dyDescent="0.25">
      <c r="A15">
        <f t="shared" si="2"/>
        <v>260</v>
      </c>
      <c r="B15">
        <f t="shared" si="0"/>
        <v>28</v>
      </c>
      <c r="C15">
        <v>34</v>
      </c>
      <c r="D15">
        <v>27</v>
      </c>
      <c r="E15">
        <v>23</v>
      </c>
      <c r="F15">
        <f t="shared" si="1"/>
        <v>5.5677643628300215</v>
      </c>
    </row>
    <row r="16" spans="1:16" x14ac:dyDescent="0.25">
      <c r="A16">
        <f t="shared" si="2"/>
        <v>280</v>
      </c>
      <c r="B16">
        <f t="shared" si="0"/>
        <v>32.666666666666664</v>
      </c>
      <c r="C16">
        <v>35</v>
      </c>
      <c r="D16">
        <v>29</v>
      </c>
      <c r="E16">
        <v>34</v>
      </c>
      <c r="F16">
        <f t="shared" si="1"/>
        <v>3.2145502536643185</v>
      </c>
    </row>
    <row r="17" spans="1:6" x14ac:dyDescent="0.25">
      <c r="A17">
        <f t="shared" si="2"/>
        <v>300</v>
      </c>
      <c r="B17">
        <f t="shared" si="0"/>
        <v>42</v>
      </c>
      <c r="C17">
        <v>37</v>
      </c>
      <c r="D17">
        <v>44</v>
      </c>
      <c r="E17">
        <v>45</v>
      </c>
      <c r="F17">
        <f t="shared" si="1"/>
        <v>4.358898943540674</v>
      </c>
    </row>
    <row r="18" spans="1:6" x14ac:dyDescent="0.25">
      <c r="A18">
        <f t="shared" si="2"/>
        <v>320</v>
      </c>
      <c r="B18">
        <f t="shared" si="0"/>
        <v>47.666666666666664</v>
      </c>
      <c r="C18">
        <v>49</v>
      </c>
      <c r="D18">
        <v>46</v>
      </c>
      <c r="E18">
        <v>48</v>
      </c>
      <c r="F18">
        <f t="shared" si="1"/>
        <v>1.5275252316519465</v>
      </c>
    </row>
    <row r="19" spans="1:6" x14ac:dyDescent="0.25">
      <c r="A19">
        <f t="shared" si="2"/>
        <v>340</v>
      </c>
      <c r="B19">
        <f t="shared" si="0"/>
        <v>51.666666666666664</v>
      </c>
      <c r="C19">
        <v>48</v>
      </c>
      <c r="D19">
        <v>59</v>
      </c>
      <c r="E19">
        <v>48</v>
      </c>
      <c r="F19">
        <f t="shared" si="1"/>
        <v>6.3508529610858835</v>
      </c>
    </row>
    <row r="20" spans="1:6" x14ac:dyDescent="0.25">
      <c r="A20">
        <f t="shared" si="2"/>
        <v>360</v>
      </c>
      <c r="B20">
        <f t="shared" si="0"/>
        <v>58</v>
      </c>
      <c r="C20">
        <v>55</v>
      </c>
      <c r="D20">
        <v>57</v>
      </c>
      <c r="E20">
        <v>62</v>
      </c>
      <c r="F20">
        <f t="shared" si="1"/>
        <v>3.6055512754639891</v>
      </c>
    </row>
    <row r="21" spans="1:6" x14ac:dyDescent="0.25">
      <c r="A21">
        <f t="shared" si="2"/>
        <v>380</v>
      </c>
      <c r="B21">
        <f t="shared" si="0"/>
        <v>58.333333333333336</v>
      </c>
      <c r="C21">
        <v>61</v>
      </c>
      <c r="D21">
        <v>51</v>
      </c>
      <c r="E21">
        <v>63</v>
      </c>
      <c r="F21">
        <f t="shared" si="1"/>
        <v>6.4291005073286369</v>
      </c>
    </row>
    <row r="22" spans="1:6" x14ac:dyDescent="0.25">
      <c r="A22">
        <f t="shared" si="2"/>
        <v>400</v>
      </c>
      <c r="B22">
        <f t="shared" si="0"/>
        <v>59</v>
      </c>
      <c r="C22">
        <v>62</v>
      </c>
      <c r="D22">
        <v>58</v>
      </c>
      <c r="E22">
        <v>57</v>
      </c>
      <c r="F22">
        <f t="shared" si="1"/>
        <v>2.6457513110645907</v>
      </c>
    </row>
    <row r="23" spans="1:6" x14ac:dyDescent="0.25">
      <c r="A23">
        <f t="shared" si="2"/>
        <v>420</v>
      </c>
      <c r="B23">
        <f t="shared" si="0"/>
        <v>58.333333333333336</v>
      </c>
      <c r="C23">
        <v>61</v>
      </c>
      <c r="D23">
        <v>59</v>
      </c>
      <c r="E23">
        <v>55</v>
      </c>
      <c r="F23">
        <f t="shared" si="1"/>
        <v>3.0550504633038931</v>
      </c>
    </row>
    <row r="24" spans="1:6" x14ac:dyDescent="0.25">
      <c r="A24">
        <f t="shared" si="2"/>
        <v>440</v>
      </c>
      <c r="B24">
        <f t="shared" si="0"/>
        <v>58</v>
      </c>
      <c r="C24">
        <v>55</v>
      </c>
      <c r="D24">
        <v>64</v>
      </c>
      <c r="E24">
        <v>55</v>
      </c>
      <c r="F24">
        <f t="shared" si="1"/>
        <v>5.196152422706632</v>
      </c>
    </row>
    <row r="25" spans="1:6" x14ac:dyDescent="0.25">
      <c r="A25">
        <f t="shared" si="2"/>
        <v>460</v>
      </c>
      <c r="B25">
        <f t="shared" si="0"/>
        <v>58.666666666666664</v>
      </c>
      <c r="C25">
        <v>59</v>
      </c>
      <c r="D25">
        <v>61</v>
      </c>
      <c r="E25">
        <v>56</v>
      </c>
      <c r="F25">
        <f t="shared" si="1"/>
        <v>2.5166114784235831</v>
      </c>
    </row>
    <row r="26" spans="1:6" x14ac:dyDescent="0.25">
      <c r="A26">
        <f t="shared" si="2"/>
        <v>480</v>
      </c>
      <c r="B26">
        <f t="shared" si="0"/>
        <v>49.333333333333336</v>
      </c>
      <c r="C26">
        <v>45</v>
      </c>
      <c r="D26">
        <v>51</v>
      </c>
      <c r="E26">
        <v>52</v>
      </c>
      <c r="F26">
        <f t="shared" si="1"/>
        <v>3.7859388972001828</v>
      </c>
    </row>
    <row r="27" spans="1:6" x14ac:dyDescent="0.25">
      <c r="A27">
        <f t="shared" si="2"/>
        <v>500</v>
      </c>
      <c r="B27">
        <f t="shared" si="0"/>
        <v>44</v>
      </c>
      <c r="C27">
        <v>46</v>
      </c>
      <c r="D27">
        <v>50</v>
      </c>
      <c r="E27">
        <v>36</v>
      </c>
      <c r="F27">
        <f t="shared" si="1"/>
        <v>7.2111025509279782</v>
      </c>
    </row>
    <row r="28" spans="1:6" x14ac:dyDescent="0.25">
      <c r="A28">
        <f t="shared" si="2"/>
        <v>520</v>
      </c>
      <c r="B28">
        <f t="shared" si="0"/>
        <v>41</v>
      </c>
      <c r="C28">
        <v>46</v>
      </c>
      <c r="D28">
        <v>38</v>
      </c>
      <c r="E28">
        <v>39</v>
      </c>
      <c r="F28">
        <f t="shared" si="1"/>
        <v>4.358898943540674</v>
      </c>
    </row>
    <row r="29" spans="1:6" x14ac:dyDescent="0.25">
      <c r="A29">
        <f t="shared" si="2"/>
        <v>540</v>
      </c>
      <c r="B29">
        <f t="shared" si="0"/>
        <v>36</v>
      </c>
      <c r="C29">
        <v>31</v>
      </c>
      <c r="D29">
        <v>37</v>
      </c>
      <c r="E29">
        <v>40</v>
      </c>
      <c r="F29">
        <f t="shared" si="1"/>
        <v>4.5825756949558398</v>
      </c>
    </row>
    <row r="30" spans="1:6" x14ac:dyDescent="0.25">
      <c r="A30">
        <f t="shared" si="2"/>
        <v>560</v>
      </c>
      <c r="B30">
        <f t="shared" si="0"/>
        <v>28.666666666666668</v>
      </c>
      <c r="C30">
        <v>23</v>
      </c>
      <c r="D30">
        <v>25</v>
      </c>
      <c r="E30">
        <v>38</v>
      </c>
      <c r="F30">
        <f t="shared" si="1"/>
        <v>8.1445278152470735</v>
      </c>
    </row>
    <row r="31" spans="1:6" x14ac:dyDescent="0.25">
      <c r="A31">
        <f t="shared" si="2"/>
        <v>580</v>
      </c>
      <c r="B31">
        <f t="shared" si="0"/>
        <v>26.666666666666668</v>
      </c>
      <c r="C31">
        <v>22</v>
      </c>
      <c r="D31">
        <v>25</v>
      </c>
      <c r="E31">
        <v>33</v>
      </c>
      <c r="F31">
        <f t="shared" si="1"/>
        <v>5.6862407030773205</v>
      </c>
    </row>
    <row r="32" spans="1:6" x14ac:dyDescent="0.25">
      <c r="A32">
        <f t="shared" si="2"/>
        <v>600</v>
      </c>
      <c r="B32">
        <f t="shared" si="0"/>
        <v>25.333333333333332</v>
      </c>
      <c r="C32">
        <v>27</v>
      </c>
      <c r="D32">
        <v>21</v>
      </c>
      <c r="E32">
        <v>28</v>
      </c>
      <c r="F32">
        <f t="shared" si="1"/>
        <v>3.7859388972001873</v>
      </c>
    </row>
    <row r="33" spans="1:6" x14ac:dyDescent="0.25">
      <c r="A33">
        <f t="shared" si="2"/>
        <v>620</v>
      </c>
      <c r="B33">
        <f t="shared" si="0"/>
        <v>21</v>
      </c>
      <c r="C33">
        <v>20</v>
      </c>
      <c r="D33">
        <v>23</v>
      </c>
      <c r="E33">
        <v>20</v>
      </c>
      <c r="F33">
        <f t="shared" si="1"/>
        <v>1.7320508075688772</v>
      </c>
    </row>
    <row r="34" spans="1:6" x14ac:dyDescent="0.25">
      <c r="A34">
        <f t="shared" si="2"/>
        <v>640</v>
      </c>
      <c r="B34">
        <f t="shared" si="0"/>
        <v>19.666666666666668</v>
      </c>
      <c r="C34">
        <v>19</v>
      </c>
      <c r="D34">
        <v>19</v>
      </c>
      <c r="E34">
        <v>21</v>
      </c>
      <c r="F34">
        <f t="shared" si="1"/>
        <v>1.1547005383792515</v>
      </c>
    </row>
    <row r="35" spans="1:6" x14ac:dyDescent="0.25">
      <c r="A35">
        <f t="shared" si="2"/>
        <v>660</v>
      </c>
      <c r="B35">
        <f t="shared" si="0"/>
        <v>18</v>
      </c>
      <c r="C35">
        <v>19</v>
      </c>
      <c r="D35">
        <v>17</v>
      </c>
      <c r="E35">
        <v>18</v>
      </c>
      <c r="F35">
        <f t="shared" si="1"/>
        <v>1</v>
      </c>
    </row>
    <row r="36" spans="1:6" x14ac:dyDescent="0.25">
      <c r="A36">
        <f t="shared" si="2"/>
        <v>680</v>
      </c>
      <c r="B36">
        <f t="shared" si="0"/>
        <v>18</v>
      </c>
      <c r="C36">
        <v>21</v>
      </c>
      <c r="D36">
        <v>16</v>
      </c>
      <c r="E36">
        <v>17</v>
      </c>
      <c r="F36">
        <f t="shared" si="1"/>
        <v>2.6457513110645907</v>
      </c>
    </row>
    <row r="37" spans="1:6" x14ac:dyDescent="0.25">
      <c r="A37">
        <f t="shared" si="2"/>
        <v>700</v>
      </c>
      <c r="B37">
        <f t="shared" si="0"/>
        <v>15.666666666666666</v>
      </c>
      <c r="C37">
        <v>15</v>
      </c>
      <c r="D37">
        <v>19</v>
      </c>
      <c r="E37">
        <v>13</v>
      </c>
      <c r="F37">
        <f t="shared" si="1"/>
        <v>3.0550504633038904</v>
      </c>
    </row>
    <row r="38" spans="1:6" x14ac:dyDescent="0.25">
      <c r="A38">
        <f t="shared" si="2"/>
        <v>720</v>
      </c>
      <c r="B38">
        <f t="shared" si="0"/>
        <v>10.333333333333334</v>
      </c>
      <c r="C38">
        <v>12</v>
      </c>
      <c r="D38">
        <v>10</v>
      </c>
      <c r="E38">
        <v>9</v>
      </c>
      <c r="F38">
        <f t="shared" si="1"/>
        <v>1.5275252316519499</v>
      </c>
    </row>
    <row r="39" spans="1:6" x14ac:dyDescent="0.25">
      <c r="A39">
        <f t="shared" si="2"/>
        <v>740</v>
      </c>
      <c r="B39">
        <f t="shared" si="0"/>
        <v>11</v>
      </c>
      <c r="C39">
        <v>15</v>
      </c>
      <c r="D39">
        <v>9</v>
      </c>
      <c r="E39">
        <v>9</v>
      </c>
      <c r="F39">
        <f t="shared" si="1"/>
        <v>3.4641016151377544</v>
      </c>
    </row>
    <row r="40" spans="1:6" x14ac:dyDescent="0.25">
      <c r="A40">
        <f t="shared" si="2"/>
        <v>760</v>
      </c>
      <c r="B40">
        <f t="shared" si="0"/>
        <v>8.3333333333333339</v>
      </c>
      <c r="C40">
        <v>5</v>
      </c>
      <c r="D40">
        <v>11</v>
      </c>
      <c r="E40">
        <v>9</v>
      </c>
      <c r="F40">
        <f t="shared" si="1"/>
        <v>3.0550504633038926</v>
      </c>
    </row>
    <row r="41" spans="1:6" x14ac:dyDescent="0.25">
      <c r="A41">
        <f t="shared" si="2"/>
        <v>780</v>
      </c>
      <c r="B41">
        <f t="shared" si="0"/>
        <v>7</v>
      </c>
      <c r="C41">
        <v>7</v>
      </c>
      <c r="D41">
        <v>9</v>
      </c>
      <c r="E41">
        <v>5</v>
      </c>
      <c r="F41">
        <f t="shared" si="1"/>
        <v>2</v>
      </c>
    </row>
    <row r="42" spans="1:6" x14ac:dyDescent="0.25">
      <c r="A42">
        <f t="shared" si="2"/>
        <v>800</v>
      </c>
      <c r="B42">
        <f t="shared" si="0"/>
        <v>6</v>
      </c>
      <c r="C42">
        <v>7</v>
      </c>
      <c r="D42">
        <v>5</v>
      </c>
      <c r="E42">
        <v>6</v>
      </c>
      <c r="F42">
        <f t="shared" si="1"/>
        <v>1</v>
      </c>
    </row>
    <row r="75" spans="7:7" x14ac:dyDescent="0.25">
      <c r="G75">
        <f t="shared" ref="G67:G79" si="3">MOD(A75,50)</f>
        <v>0</v>
      </c>
    </row>
    <row r="76" spans="7:7" x14ac:dyDescent="0.25">
      <c r="G76">
        <f t="shared" si="3"/>
        <v>0</v>
      </c>
    </row>
    <row r="77" spans="7:7" x14ac:dyDescent="0.25">
      <c r="G77">
        <f t="shared" si="3"/>
        <v>0</v>
      </c>
    </row>
    <row r="78" spans="7:7" x14ac:dyDescent="0.25">
      <c r="G78">
        <f t="shared" si="3"/>
        <v>0</v>
      </c>
    </row>
    <row r="79" spans="7:7" x14ac:dyDescent="0.25">
      <c r="G79">
        <f t="shared" si="3"/>
        <v>0</v>
      </c>
    </row>
    <row r="80" spans="7:7" x14ac:dyDescent="0.25">
      <c r="G80">
        <f t="shared" ref="G80" si="4">MOD(E80,50)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Doble Rendija</vt:lpstr>
      <vt:lpstr>Una rendija</vt:lpstr>
      <vt:lpstr>Corpuscular Doble Rendija</vt:lpstr>
      <vt:lpstr>Corpuscular Una rendija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Valentina Bustos Giraldo</dc:creator>
  <cp:lastModifiedBy>Angela Valentina Bustos Giraldo</cp:lastModifiedBy>
  <dcterms:created xsi:type="dcterms:W3CDTF">2025-10-30T21:49:47Z</dcterms:created>
  <dcterms:modified xsi:type="dcterms:W3CDTF">2025-11-07T02:04:51Z</dcterms:modified>
</cp:coreProperties>
</file>